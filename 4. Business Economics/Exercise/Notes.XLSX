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C:\Github\Repository\International-Business-Logistics---Green-Management\4. Business Economics\"/>
    </mc:Choice>
  </mc:AlternateContent>
  <xr:revisionPtr revIDLastSave="0" documentId="13_ncr:1_{627AA65C-6B0B-4AC9-A1F9-0B7E97BD4B80}" xr6:coauthVersionLast="47" xr6:coauthVersionMax="47" xr10:uidLastSave="{00000000-0000-0000-0000-000000000000}"/>
  <bookViews>
    <workbookView xWindow="0" yWindow="0" windowWidth="11520" windowHeight="12360" firstSheet="3" activeTab="3" xr2:uid="{00000000-000D-0000-FFFF-FFFF00000000}"/>
  </bookViews>
  <sheets>
    <sheet name="Cykeluppgift" sheetId="1" r:id="rId1"/>
    <sheet name="Break even Stolspecialisten" sheetId="2" r:id="rId2"/>
    <sheet name="Break even Billampor" sheetId="3" r:id="rId3"/>
    <sheet name="Bokför Lisas Barnvagnar" sheetId="6" r:id="rId4"/>
    <sheet name="Bokför Sunes solstolar" sheetId="7" r:id="rId5"/>
    <sheet name="Bokför Ahmeds cykel AB" sheetId="8" r:id="rId6"/>
    <sheet name="Påläggskalkylering grunder" sheetId="9" r:id="rId7"/>
    <sheet name="Påläggskalkyl grillar" sheetId="10" r:id="rId8"/>
    <sheet name="Moms" sheetId="11" r:id="rId9"/>
    <sheet name="Resultatbudget Millas kjolar" sheetId="4" r:id="rId10"/>
    <sheet name="Resultatbudget Mollys cyklar" sheetId="5" r:id="rId1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7" i="11" l="1"/>
  <c r="B47" i="11"/>
  <c r="C43" i="11"/>
  <c r="D43" i="11"/>
  <c r="B43" i="11"/>
  <c r="C39" i="11"/>
  <c r="B39" i="11"/>
  <c r="D35" i="11"/>
  <c r="B35" i="11"/>
  <c r="C31" i="11"/>
  <c r="B31" i="11"/>
  <c r="D27" i="11"/>
  <c r="B27" i="11"/>
  <c r="C23" i="11"/>
  <c r="B23" i="11"/>
  <c r="F20" i="11"/>
  <c r="G20" i="11"/>
  <c r="D20" i="11"/>
  <c r="B20" i="11"/>
  <c r="D19" i="11"/>
  <c r="B19" i="11"/>
  <c r="F16" i="11"/>
  <c r="G16" i="11"/>
  <c r="C16" i="11"/>
  <c r="C15" i="11"/>
  <c r="B15" i="11"/>
  <c r="C11" i="11"/>
  <c r="B11" i="11"/>
  <c r="H8" i="7"/>
  <c r="H12" i="7"/>
  <c r="H26" i="7"/>
  <c r="H27" i="7"/>
  <c r="D7" i="7"/>
  <c r="D26" i="7"/>
  <c r="D27" i="7"/>
  <c r="P23" i="7"/>
  <c r="L23" i="7"/>
  <c r="L25" i="7"/>
  <c r="H26" i="6"/>
  <c r="D26" i="6"/>
  <c r="P22" i="6"/>
  <c r="L22" i="6"/>
  <c r="L24" i="6"/>
  <c r="B76" i="2"/>
  <c r="C19" i="5"/>
  <c r="C17" i="5"/>
  <c r="F18" i="5"/>
  <c r="C15" i="5"/>
  <c r="F17" i="5"/>
  <c r="F20" i="5"/>
  <c r="G21" i="5"/>
  <c r="C4" i="5"/>
  <c r="C5" i="5"/>
  <c r="C6" i="5"/>
  <c r="C16" i="5"/>
  <c r="C18" i="5"/>
  <c r="G12" i="5"/>
  <c r="G12" i="4"/>
  <c r="G21" i="4"/>
  <c r="F20" i="4"/>
  <c r="G13" i="4"/>
  <c r="G13" i="5"/>
  <c r="C8" i="5"/>
  <c r="C9" i="5"/>
  <c r="C10" i="5"/>
  <c r="J11" i="5"/>
  <c r="J12" i="5"/>
  <c r="J13" i="5"/>
  <c r="C11" i="5"/>
  <c r="C13" i="5"/>
  <c r="C14" i="5"/>
  <c r="F19" i="5"/>
  <c r="I18" i="5"/>
  <c r="G22" i="5"/>
  <c r="C20" i="5"/>
  <c r="C19" i="4"/>
  <c r="C17" i="4"/>
  <c r="F18" i="4"/>
  <c r="F19" i="4"/>
  <c r="C4" i="4"/>
  <c r="C5" i="4"/>
  <c r="C6" i="4"/>
  <c r="C16" i="4"/>
  <c r="C18" i="4"/>
  <c r="C12" i="4"/>
  <c r="C11" i="4"/>
  <c r="J13" i="4"/>
  <c r="J11" i="4"/>
  <c r="J12" i="4"/>
  <c r="C10" i="4"/>
  <c r="C8" i="4"/>
  <c r="C15" i="4"/>
  <c r="F17" i="4"/>
  <c r="I18" i="4"/>
  <c r="I16" i="4"/>
  <c r="C9" i="4"/>
  <c r="C20" i="4"/>
  <c r="B76" i="3"/>
  <c r="B44" i="3"/>
  <c r="B52" i="3"/>
  <c r="B44" i="2"/>
  <c r="B36" i="3"/>
  <c r="B20" i="3"/>
  <c r="B60" i="3"/>
  <c r="B68" i="2"/>
  <c r="B36" i="2"/>
  <c r="B20" i="2"/>
  <c r="B60" i="2"/>
  <c r="B16" i="1"/>
  <c r="I11" i="1"/>
  <c r="I10" i="1"/>
  <c r="F11" i="1"/>
  <c r="B11" i="1"/>
  <c r="F10" i="1"/>
  <c r="F12" i="1"/>
  <c r="B10" i="1"/>
  <c r="B12" i="1"/>
  <c r="F6" i="1"/>
  <c r="F8" i="1"/>
  <c r="B6" i="1"/>
  <c r="B8" i="1"/>
  <c r="I8" i="1"/>
  <c r="I4" i="1"/>
  <c r="B68" i="3"/>
  <c r="B28" i="3"/>
  <c r="B28" i="2"/>
  <c r="B52" i="2"/>
  <c r="I12" i="1"/>
</calcChain>
</file>

<file path=xl/sharedStrings.xml><?xml version="1.0" encoding="utf-8"?>
<sst xmlns="http://schemas.openxmlformats.org/spreadsheetml/2006/main" count="414" uniqueCount="217">
  <si>
    <t>Försäljningspris</t>
  </si>
  <si>
    <t>Inköpspris</t>
  </si>
  <si>
    <t>Täckningsbidrag</t>
  </si>
  <si>
    <t>Antal sålda</t>
  </si>
  <si>
    <t>Total Försäljning</t>
  </si>
  <si>
    <t>lokaler</t>
  </si>
  <si>
    <t>löner</t>
  </si>
  <si>
    <t>Marketsföring</t>
  </si>
  <si>
    <t>Transport</t>
  </si>
  <si>
    <t>övriga  kat</t>
  </si>
  <si>
    <t>Fasta kostnader</t>
  </si>
  <si>
    <t>varukostnader</t>
  </si>
  <si>
    <t>Intäkter</t>
  </si>
  <si>
    <t>Bruttovinst</t>
  </si>
  <si>
    <t>fasta kostnader</t>
  </si>
  <si>
    <t>Åvetovinst</t>
  </si>
  <si>
    <t>min varor</t>
  </si>
  <si>
    <t>Cykelpunkten AB</t>
  </si>
  <si>
    <t>Herrcykel</t>
  </si>
  <si>
    <t>Damcykel</t>
  </si>
  <si>
    <t>Total vinst</t>
  </si>
  <si>
    <t>Varukostnader</t>
  </si>
  <si>
    <t xml:space="preserve">Break-even övning   </t>
  </si>
  <si>
    <t>ETT FÖRETAG IMPORTERAR OCH SÄLJER EXKLUSIVA STOLAR</t>
  </si>
  <si>
    <t>De fasta kostnaderna är budgeterade till 1 200 000.</t>
  </si>
  <si>
    <t>Man har satt ett försäljningspris till 6500 kr grundat på ett inköpspris om 3000 kr.</t>
  </si>
  <si>
    <t>Det känns rimligt att budgetera en försäljning på 400 stycken stolar.</t>
  </si>
  <si>
    <t>Fasta kostnader :</t>
  </si>
  <si>
    <t>Försäljningspris  :</t>
  </si>
  <si>
    <t>Inköpspris            :</t>
  </si>
  <si>
    <t>Budgeterat antal:</t>
  </si>
  <si>
    <t>Frågor</t>
  </si>
  <si>
    <r>
      <t xml:space="preserve">A, </t>
    </r>
    <r>
      <rPr>
        <sz val="11"/>
        <color theme="1"/>
        <rFont val="Calibri"/>
        <family val="2"/>
        <scheme val="minor"/>
      </rPr>
      <t>Vad är täckningsbidraget i kronor?</t>
    </r>
  </si>
  <si>
    <t>Eventuell uträkning nedan:</t>
  </si>
  <si>
    <t xml:space="preserve"> Försäljningspris - Inköpspris</t>
  </si>
  <si>
    <t>Svar nedan i grönt fält:</t>
  </si>
  <si>
    <r>
      <t xml:space="preserve">B, </t>
    </r>
    <r>
      <rPr>
        <sz val="11"/>
        <color theme="1"/>
        <rFont val="Calibri"/>
        <family val="2"/>
        <scheme val="minor"/>
      </rPr>
      <t xml:space="preserve"> Vad är täckningsgraden, dvs täckningsbidraget i procent?</t>
    </r>
  </si>
  <si>
    <t>Täckningsbidraget / Försäljningspris</t>
  </si>
  <si>
    <r>
      <t xml:space="preserve">C, </t>
    </r>
    <r>
      <rPr>
        <sz val="11"/>
        <color theme="1"/>
        <rFont val="Calibri"/>
        <family val="2"/>
        <scheme val="minor"/>
      </rPr>
      <t>Hur stor är den totalt budgeterade försäljningen, dvs intäkterna?</t>
    </r>
  </si>
  <si>
    <t>Budget var ett att sälja 400st stolar. Försäljningspriset var 6500 kr styck.</t>
  </si>
  <si>
    <t>Täckningsbidraget * Budgeterat antal</t>
  </si>
  <si>
    <r>
      <t>D,</t>
    </r>
    <r>
      <rPr>
        <sz val="11"/>
        <color theme="1"/>
        <rFont val="Calibri"/>
        <family val="2"/>
        <scheme val="minor"/>
      </rPr>
      <t xml:space="preserve"> Vad är de totala rörliga kostnaderna vid budgeterad försäljning?</t>
    </r>
  </si>
  <si>
    <t>Budget var ett att sälja 400st stolar. Inköpspriset var 4000 kr styck.</t>
  </si>
  <si>
    <t xml:space="preserve"> Inköpspris * Budgeterat antal</t>
  </si>
  <si>
    <r>
      <t>E,</t>
    </r>
    <r>
      <rPr>
        <sz val="11"/>
        <color theme="1"/>
        <rFont val="Calibri"/>
        <family val="2"/>
        <scheme val="minor"/>
      </rPr>
      <t xml:space="preserve"> Hur mycket är företagets totala kostnader vid budgeterad försäljning?</t>
    </r>
  </si>
  <si>
    <t>Fasta kostnader var 1200000. plus rörliga kostnaderna 1200000.</t>
  </si>
  <si>
    <t xml:space="preserve"> </t>
  </si>
  <si>
    <t>F,  Vid vilket antal sålda stolar uppnås Break even?</t>
  </si>
  <si>
    <t>Fasta kostnader / TB styck</t>
  </si>
  <si>
    <r>
      <t>G,</t>
    </r>
    <r>
      <rPr>
        <sz val="11"/>
        <color theme="1"/>
        <rFont val="Calibri"/>
        <family val="2"/>
        <scheme val="minor"/>
      </rPr>
      <t xml:space="preserve"> Hur stor är företagets vinst i kronor detta år vid budgeterad försäljning?</t>
    </r>
  </si>
  <si>
    <t>totalt budgeterade försäljningen - totala kostnader</t>
  </si>
  <si>
    <r>
      <t>H,</t>
    </r>
    <r>
      <rPr>
        <sz val="11"/>
        <color theme="1"/>
        <rFont val="Calibri"/>
        <family val="2"/>
        <scheme val="minor"/>
      </rPr>
      <t xml:space="preserve"> Hur stor är företagets vinstmarginal</t>
    </r>
  </si>
  <si>
    <t>Vinst ssamma sak som årets resultat efter avskrivningar / summa intäkter</t>
  </si>
  <si>
    <t xml:space="preserve">Break-even övning     </t>
  </si>
  <si>
    <t>ETT FÖRETAG IMPORTERAR OCH SÄLJER LAMPOR TILL BILAR</t>
  </si>
  <si>
    <t>De fasta kostnaderna är budgeterade till 2 800 000.</t>
  </si>
  <si>
    <t>Man har satt ett försäljningspris till 11000 kr grundat på ett inköpspris om 5000 kr.</t>
  </si>
  <si>
    <t>Det känns rimligt att budgetera en försäljning på 650 stycken lampor.</t>
  </si>
  <si>
    <t>Frågorna får gärna besvaras med hjälp av Excel</t>
  </si>
  <si>
    <t>F,  Vid vilket antal sålda lampor uppnås Break even?</t>
  </si>
  <si>
    <t xml:space="preserve">Millas kjolar </t>
  </si>
  <si>
    <t>RESULTATBUDGET (Tkr)</t>
  </si>
  <si>
    <t>Årsbudget</t>
  </si>
  <si>
    <t>Schablon /Uppskattn</t>
  </si>
  <si>
    <t>Försäljning</t>
  </si>
  <si>
    <t>Personalkostnader</t>
  </si>
  <si>
    <t>lön x plus 40 % sociala och pension</t>
  </si>
  <si>
    <r>
      <t xml:space="preserve">Inköp                                                        </t>
    </r>
    <r>
      <rPr>
        <b/>
        <sz val="10"/>
        <color theme="1"/>
        <rFont val="Calibri"/>
        <family val="2"/>
        <scheme val="minor"/>
      </rPr>
      <t>-</t>
    </r>
  </si>
  <si>
    <t>Konsultkostnader</t>
  </si>
  <si>
    <t xml:space="preserve">1 000 kr timme </t>
  </si>
  <si>
    <t>Täckningsbidrag/Bruttovinst          =</t>
  </si>
  <si>
    <t>Avskrivningar</t>
  </si>
  <si>
    <t>5 års avskrivning fordon, möbler, maskiner.</t>
  </si>
  <si>
    <t>Kostnadsränta</t>
  </si>
  <si>
    <t>5 procent</t>
  </si>
  <si>
    <t>Löner inkl. sociala och pension</t>
  </si>
  <si>
    <t>Hotell &amp; traktamente</t>
  </si>
  <si>
    <t>1 500 kronor per natt</t>
  </si>
  <si>
    <t>Lokaler inkl el, värme VA mm.</t>
  </si>
  <si>
    <t>Bil inkl. allt</t>
  </si>
  <si>
    <t>30 kr milen</t>
  </si>
  <si>
    <t>Resebiljetter och hotell</t>
  </si>
  <si>
    <t>Bilar inkl. drivmedel</t>
  </si>
  <si>
    <t>Nyckeltal</t>
  </si>
  <si>
    <t>Budget</t>
  </si>
  <si>
    <t>Leasing</t>
  </si>
  <si>
    <t>Data Mobil Kommunikation</t>
  </si>
  <si>
    <t>Vinstmarginal</t>
  </si>
  <si>
    <t>Bill</t>
  </si>
  <si>
    <t>Marknadsföring</t>
  </si>
  <si>
    <t>Täckningsgrad</t>
  </si>
  <si>
    <t>Övriga kostnader</t>
  </si>
  <si>
    <t>Summa kostnader (A)</t>
  </si>
  <si>
    <t>Önskad vinst nedan i rött:</t>
  </si>
  <si>
    <t>Resultat före avskrivningar             =</t>
  </si>
  <si>
    <t>Pris</t>
  </si>
  <si>
    <r>
      <t xml:space="preserve">Avskrivningar (B)                                 </t>
    </r>
    <r>
      <rPr>
        <b/>
        <sz val="10"/>
        <color theme="1"/>
        <rFont val="Calibri"/>
        <family val="2"/>
        <scheme val="minor"/>
      </rPr>
      <t xml:space="preserve"> -</t>
    </r>
  </si>
  <si>
    <t>A</t>
  </si>
  <si>
    <t>Inköp</t>
  </si>
  <si>
    <t>Resultat före finansnetto                =</t>
  </si>
  <si>
    <t>B</t>
  </si>
  <si>
    <t>TB</t>
  </si>
  <si>
    <r>
      <t xml:space="preserve">Finansiella kostnader (C)                  </t>
    </r>
    <r>
      <rPr>
        <b/>
        <sz val="10"/>
        <color theme="1"/>
        <rFont val="Calibri"/>
        <family val="2"/>
        <scheme val="minor"/>
      </rPr>
      <t>-</t>
    </r>
  </si>
  <si>
    <t>C</t>
  </si>
  <si>
    <t>Resultat före skatt                           =</t>
  </si>
  <si>
    <t xml:space="preserve"> =</t>
  </si>
  <si>
    <t>Antal för break-even --&gt;</t>
  </si>
  <si>
    <t>Mollys cyklar</t>
  </si>
  <si>
    <t>Budget år 1</t>
  </si>
  <si>
    <t xml:space="preserve">Försäljning </t>
  </si>
  <si>
    <r>
      <t xml:space="preserve">Inköp                                                   </t>
    </r>
    <r>
      <rPr>
        <b/>
        <sz val="10"/>
        <color theme="1"/>
        <rFont val="Calibri"/>
        <family val="2"/>
        <scheme val="minor"/>
      </rPr>
      <t>-</t>
    </r>
  </si>
  <si>
    <t>20 procent per år</t>
  </si>
  <si>
    <r>
      <t xml:space="preserve">Avskrivningar (B)                              </t>
    </r>
    <r>
      <rPr>
        <b/>
        <sz val="10"/>
        <color theme="1"/>
        <rFont val="Calibri"/>
        <family val="2"/>
        <scheme val="minor"/>
      </rPr>
      <t xml:space="preserve"> -</t>
    </r>
  </si>
  <si>
    <t>Bil</t>
  </si>
  <si>
    <t>The system costs 60000 for 5 years, which is 20% each year.</t>
  </si>
  <si>
    <t>The maintainance costs 4000 per year.</t>
  </si>
  <si>
    <t>Lisas barnvagnar AB</t>
  </si>
  <si>
    <t>Tillgångar</t>
  </si>
  <si>
    <t>Eget kapital/Skulder</t>
  </si>
  <si>
    <t>Kostnader</t>
  </si>
  <si>
    <t>Nr</t>
  </si>
  <si>
    <t>Text</t>
  </si>
  <si>
    <t>belopp</t>
  </si>
  <si>
    <t>Anläggningstillgångar</t>
  </si>
  <si>
    <t xml:space="preserve">Eget Kapital </t>
  </si>
  <si>
    <t>Årets resultat</t>
  </si>
  <si>
    <t>Omsättningstillgångar</t>
  </si>
  <si>
    <t>Långfristiga skulder</t>
  </si>
  <si>
    <t>Kortfristiga skulder</t>
  </si>
  <si>
    <t>Summa kostnader</t>
  </si>
  <si>
    <t>Summa intäkter</t>
  </si>
  <si>
    <t>Balansomslutning</t>
  </si>
  <si>
    <t>Lisas Barnvagnar AB.</t>
  </si>
  <si>
    <t>1, Lisa startar bolaget  och sätter in 300 000 i aktiekapital.</t>
  </si>
  <si>
    <t>2, Bolaget tar ett banklån på 550 000 som ska betalas tillbaka på 10 år.</t>
  </si>
  <si>
    <t>3, Företaget köper en pickup för 250 000 på 60 dagars kredit.</t>
  </si>
  <si>
    <t>4, Lisa köper den 5 januari in 70 vagnar för 700 000 på kredit och ställer dem i lager.</t>
  </si>
  <si>
    <t>5, Lisa säljer 60 stycken vagnar och fakturerar 900 000.</t>
  </si>
  <si>
    <t>6, Företaget betalar ut lön på 400 000.</t>
  </si>
  <si>
    <t>7, Företaget betalar lokalhyra på 300 000.</t>
  </si>
  <si>
    <t>8, Lisa betalar de 70 vagnarna som köptes in under punkt 4.</t>
  </si>
  <si>
    <t>9, En avskrivning görs på pickupen med 50 000 eftersom den skrivs av på 5 år.</t>
  </si>
  <si>
    <t>10, Företaget betalar ränta på lånet med 65 000.</t>
  </si>
  <si>
    <t>11, Företaget säljer servicetjänster för 730 000 kontant.</t>
  </si>
  <si>
    <t>12, Företaget betalar Pickupen som köptes under punkt 3.</t>
  </si>
  <si>
    <t>13, Man tar en företagsförsäkring som kostar 19000 och får 30 dagars kredit.</t>
  </si>
  <si>
    <t>14, Företaget amorterar på lånet med 80 000.</t>
  </si>
  <si>
    <t>15, Gör bokslut och boka upp årets resultat.</t>
  </si>
  <si>
    <t xml:space="preserve">Bokföringsuppgift Sunes Solstolar AB  </t>
  </si>
  <si>
    <t>Summa anläggning</t>
  </si>
  <si>
    <t>Summa EK</t>
  </si>
  <si>
    <t>Summa lång skuld</t>
  </si>
  <si>
    <t>Summa omsättning</t>
  </si>
  <si>
    <t>Sunes Solstolar AB</t>
  </si>
  <si>
    <t>1, Ni startar bolaget  och sätter in 250 000 i aktiekapital.</t>
  </si>
  <si>
    <t>2, Bolaget tar ett banklån på 480 000 som ska betalas tillbaka på 10 år.</t>
  </si>
  <si>
    <t>3, Företaget köper en skåpbil 100 000 på 30 dagars kredit.</t>
  </si>
  <si>
    <t>4, Företaget köper in 1400 solstolar för 700 000 på 90 dagars kredit och ställer dem i lager.</t>
  </si>
  <si>
    <t>5, Företaget säljer 1200 stycken solstolar kontant för 1 200 000.</t>
  </si>
  <si>
    <t>6, Företaget betalar ut lön på 700 000.</t>
  </si>
  <si>
    <t>7, Företaget betalar lokalhyra på 450 000.</t>
  </si>
  <si>
    <t>8, Företaget betalar de 1400 solstolar som köptes in under punkt 4.</t>
  </si>
  <si>
    <t>9, En avskrivning görs på bilen med 20 000 eftersom den skrivs av på 5 år.</t>
  </si>
  <si>
    <t>10, Företaget amorterar 48 000 under verksamhetsårets sista vecka.</t>
  </si>
  <si>
    <t>11, Företaget säljer tillbehör som betalas kontant av kunderna 150 000.</t>
  </si>
  <si>
    <t>12, Företaget betalar Skåpbilen som köptes under punkt 3.</t>
  </si>
  <si>
    <t>13, Företaget köper in 1000 solstolar för 500 000 kronor på 30 dagars kredit och ställer dem i lager.</t>
  </si>
  <si>
    <t>14, Företaget betalar ränta på lånet med 30 000.</t>
  </si>
  <si>
    <t>15, Företaget köper kontorsmaterial för 18 000 och får 30 dagars kredit.</t>
  </si>
  <si>
    <t>16, Gör bokslut och boka upp årets resultat.</t>
  </si>
  <si>
    <t xml:space="preserve">Bokföringsuppgift Ahmeds cykel AB </t>
  </si>
  <si>
    <t>Ahmeds Cykel AB</t>
  </si>
  <si>
    <t>2, Bolaget tar ett banklån på 350 000 som ska betalas tillbaka på 5 år.</t>
  </si>
  <si>
    <t>3, Företaget köper en lätt lastbil för 200 000 på 30 dagars kredit.</t>
  </si>
  <si>
    <t>4, Företaget köper in 40 Cyklar för 400 000 på 90 dagars kredit och ställer dem i lager.</t>
  </si>
  <si>
    <t>5, Företaget säljer 35 stycken Cyklar kontant för 1 050 000.</t>
  </si>
  <si>
    <t>6, Företaget betalar ut lön på 200 000.</t>
  </si>
  <si>
    <t>7, Företaget betalar lokalhyra på 225 000.</t>
  </si>
  <si>
    <t>8, Företaget betalar de 40 Cyklar som köptes in under punkt 4.</t>
  </si>
  <si>
    <t>9, En avskrivning görs på lastbilen med 40 000 eftersom den skrivs av på 5 år.</t>
  </si>
  <si>
    <t>10, Företaget amorterar 70 000 under verksamhetsårets sista vecka.</t>
  </si>
  <si>
    <t>11, Företaget köper en försäkring för 15000.</t>
  </si>
  <si>
    <t>13, Företaget köper in 10 Cyklar för 100 000 kronor på 30 dagars kredit och ställer dem i lager.</t>
  </si>
  <si>
    <t>14, Företaget betalar ränta på lånet med 12 000.</t>
  </si>
  <si>
    <t>15, Företaget köper mobiltelefon för 11 000 och får 30 dagars kredit.</t>
  </si>
  <si>
    <t xml:space="preserve">Momsövningar </t>
  </si>
  <si>
    <t xml:space="preserve">Här kommer några momsövningar. Jag skulle uppskatta om ni använde Excel för att lösa dom. </t>
  </si>
  <si>
    <t>Det är bra träning. Skriv in svaren i den orange rutan.</t>
  </si>
  <si>
    <t>Lycka till.</t>
  </si>
  <si>
    <t>Övning 1.</t>
  </si>
  <si>
    <t>inkl moms</t>
  </si>
  <si>
    <t xml:space="preserve">exkl mom </t>
  </si>
  <si>
    <t>mom</t>
  </si>
  <si>
    <t>Företag A skickar en faktura till Företag B. Fakturan är på 4500 kr exkl moms och avser försäljning möbler.</t>
  </si>
  <si>
    <t>Vilket är momsbeloppet?</t>
  </si>
  <si>
    <t>Övning 2.</t>
  </si>
  <si>
    <t>Företag A skickar en faktura till Företag B. Fakturan är på 6800 kr exkl moms och avser försäljning livsmedel.</t>
  </si>
  <si>
    <t>Övning 3.</t>
  </si>
  <si>
    <t>Företag A köper en tågbiljett för 1250 kr inkl moms.</t>
  </si>
  <si>
    <t>Övning 4.</t>
  </si>
  <si>
    <t>Företag A köper en tågbiljett för 960 kr exkl moms.</t>
  </si>
  <si>
    <t>Övning 5.</t>
  </si>
  <si>
    <t>Företag A köper mat på ICA till en firmafest. Maten kostade 1745 kr inkl moms.</t>
  </si>
  <si>
    <t>Övning 6.</t>
  </si>
  <si>
    <t>Företag A köper en motorsåg. Sågen kostar 2340 kr exkl moms.</t>
  </si>
  <si>
    <t>Övning 7.</t>
  </si>
  <si>
    <t>Företag A har personal som bott över på hotell. Hotellnotan är på 3400 kr inkl moms.</t>
  </si>
  <si>
    <t>Vad var hotellnotan exkl moms?</t>
  </si>
  <si>
    <t>Övning 8.</t>
  </si>
  <si>
    <t xml:space="preserve">Företag A har köpt tågbiljetter för 3550 kr exkl moms. </t>
  </si>
  <si>
    <t>Vad kostar biljetterna inkl moms?</t>
  </si>
  <si>
    <t>Övning 9.</t>
  </si>
  <si>
    <t xml:space="preserve">Kalle P har varit på restaurang och ätit en dagens rätt för 130 kr inkl moms. </t>
  </si>
  <si>
    <t>Vad kostade maten exkl moms?</t>
  </si>
  <si>
    <t>Övning 10.</t>
  </si>
  <si>
    <t>Ett företag köpte ett skåp för 3880 kr exkl moms.</t>
  </si>
  <si>
    <t>Vilket belopp stod det på kvittot inkl moms?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</si>
</sst>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#,##0\ &quot;kr&quot;"/>
  </numFmts>
  <fonts count="19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8E0000"/>
      <name val="Calibri"/>
      <family val="2"/>
      <scheme val="minor"/>
    </font>
    <font>
      <b/>
      <sz val="11"/>
      <color rgb="FF8E0000"/>
      <name val="Calibri"/>
      <family val="2"/>
      <scheme val="minor"/>
    </font>
    <font>
      <sz val="11"/>
      <color rgb="FFC000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C00000"/>
      <name val="Calibri"/>
      <family val="2"/>
      <scheme val="minor"/>
    </font>
    <font>
      <u/>
      <sz val="10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1" fillId="3" borderId="0" xfId="0" applyFont="1" applyFill="1"/>
    <xf numFmtId="0" fontId="2" fillId="0" borderId="1" xfId="0" applyFont="1" applyBorder="1"/>
    <xf numFmtId="0" fontId="0" fillId="0" borderId="0" xfId="0" applyAlignment="1">
      <alignment vertical="center"/>
    </xf>
    <xf numFmtId="0" fontId="4" fillId="0" borderId="2" xfId="0" applyFont="1" applyBorder="1" applyAlignment="1">
      <alignment vertical="center"/>
    </xf>
    <xf numFmtId="0" fontId="5" fillId="0" borderId="3" xfId="0" applyFont="1" applyBorder="1"/>
    <xf numFmtId="0" fontId="0" fillId="0" borderId="4" xfId="0" applyBorder="1" applyAlignment="1">
      <alignment vertical="center"/>
    </xf>
    <xf numFmtId="0" fontId="6" fillId="0" borderId="5" xfId="0" applyFont="1" applyBorder="1"/>
    <xf numFmtId="0" fontId="0" fillId="0" borderId="4" xfId="0" applyBorder="1"/>
    <xf numFmtId="0" fontId="0" fillId="0" borderId="6" xfId="0" applyBorder="1" applyAlignment="1">
      <alignment vertical="center"/>
    </xf>
    <xf numFmtId="0" fontId="6" fillId="0" borderId="7" xfId="0" applyFont="1" applyBorder="1"/>
    <xf numFmtId="0" fontId="6" fillId="0" borderId="0" xfId="0" applyFont="1"/>
    <xf numFmtId="0" fontId="3" fillId="0" borderId="0" xfId="0" applyFont="1" applyAlignment="1">
      <alignment horizontal="right" vertical="center"/>
    </xf>
    <xf numFmtId="3" fontId="6" fillId="2" borderId="0" xfId="0" applyNumberFormat="1" applyFont="1" applyFill="1"/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7" fillId="0" borderId="8" xfId="0" applyFont="1" applyBorder="1" applyAlignment="1">
      <alignment vertical="center"/>
    </xf>
    <xf numFmtId="0" fontId="8" fillId="0" borderId="0" xfId="0" applyFont="1" applyAlignment="1">
      <alignment vertical="center"/>
    </xf>
    <xf numFmtId="3" fontId="0" fillId="0" borderId="9" xfId="0" applyNumberFormat="1" applyBorder="1"/>
    <xf numFmtId="0" fontId="0" fillId="0" borderId="9" xfId="0" applyBorder="1"/>
    <xf numFmtId="0" fontId="0" fillId="4" borderId="9" xfId="0" applyFill="1" applyBorder="1"/>
    <xf numFmtId="3" fontId="0" fillId="2" borderId="10" xfId="0" applyNumberFormat="1" applyFill="1" applyBorder="1" applyAlignment="1">
      <alignment horizontal="left"/>
    </xf>
    <xf numFmtId="9" fontId="0" fillId="2" borderId="10" xfId="0" applyNumberFormat="1" applyFill="1" applyBorder="1" applyAlignment="1">
      <alignment horizontal="left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9" fontId="6" fillId="0" borderId="0" xfId="0" applyNumberFormat="1" applyFont="1"/>
    <xf numFmtId="1" fontId="6" fillId="0" borderId="0" xfId="0" applyNumberFormat="1" applyFont="1"/>
    <xf numFmtId="0" fontId="11" fillId="5" borderId="0" xfId="0" applyFont="1" applyFill="1"/>
    <xf numFmtId="0" fontId="12" fillId="0" borderId="0" xfId="0" applyFont="1"/>
    <xf numFmtId="0" fontId="13" fillId="0" borderId="0" xfId="0" applyFont="1"/>
    <xf numFmtId="0" fontId="13" fillId="6" borderId="0" xfId="0" applyFont="1" applyFill="1" applyAlignment="1">
      <alignment wrapText="1"/>
    </xf>
    <xf numFmtId="0" fontId="13" fillId="6" borderId="0" xfId="0" applyFont="1" applyFill="1" applyAlignment="1">
      <alignment horizontal="center" wrapText="1"/>
    </xf>
    <xf numFmtId="0" fontId="12" fillId="0" borderId="0" xfId="0" applyFont="1" applyAlignment="1">
      <alignment wrapText="1"/>
    </xf>
    <xf numFmtId="0" fontId="12" fillId="6" borderId="0" xfId="0" applyFont="1" applyFill="1" applyAlignment="1">
      <alignment wrapText="1"/>
    </xf>
    <xf numFmtId="3" fontId="12" fillId="0" borderId="0" xfId="0" applyNumberFormat="1" applyFont="1"/>
    <xf numFmtId="3" fontId="12" fillId="0" borderId="11" xfId="0" applyNumberFormat="1" applyFont="1" applyBorder="1"/>
    <xf numFmtId="0" fontId="13" fillId="7" borderId="0" xfId="0" applyFont="1" applyFill="1"/>
    <xf numFmtId="3" fontId="13" fillId="8" borderId="11" xfId="0" applyNumberFormat="1" applyFont="1" applyFill="1" applyBorder="1"/>
    <xf numFmtId="3" fontId="13" fillId="8" borderId="0" xfId="0" applyNumberFormat="1" applyFont="1" applyFill="1"/>
    <xf numFmtId="0" fontId="13" fillId="8" borderId="2" xfId="0" applyFont="1" applyFill="1" applyBorder="1"/>
    <xf numFmtId="0" fontId="13" fillId="8" borderId="3" xfId="0" applyFont="1" applyFill="1" applyBorder="1" applyAlignment="1">
      <alignment horizontal="right"/>
    </xf>
    <xf numFmtId="0" fontId="12" fillId="0" borderId="4" xfId="0" applyFont="1" applyBorder="1"/>
    <xf numFmtId="10" fontId="12" fillId="0" borderId="12" xfId="0" applyNumberFormat="1" applyFont="1" applyBorder="1"/>
    <xf numFmtId="0" fontId="12" fillId="0" borderId="6" xfId="0" applyFont="1" applyBorder="1"/>
    <xf numFmtId="0" fontId="13" fillId="9" borderId="0" xfId="0" applyFont="1" applyFill="1"/>
    <xf numFmtId="3" fontId="13" fillId="0" borderId="11" xfId="0" applyNumberFormat="1" applyFont="1" applyBorder="1"/>
    <xf numFmtId="0" fontId="12" fillId="0" borderId="2" xfId="0" applyFont="1" applyBorder="1"/>
    <xf numFmtId="0" fontId="13" fillId="0" borderId="3" xfId="0" applyFont="1" applyBorder="1" applyAlignment="1">
      <alignment horizontal="right"/>
    </xf>
    <xf numFmtId="164" fontId="12" fillId="0" borderId="0" xfId="0" applyNumberFormat="1" applyFont="1"/>
    <xf numFmtId="3" fontId="14" fillId="0" borderId="5" xfId="0" applyNumberFormat="1" applyFont="1" applyBorder="1" applyAlignment="1">
      <alignment horizontal="right"/>
    </xf>
    <xf numFmtId="0" fontId="12" fillId="0" borderId="3" xfId="0" applyFont="1" applyBorder="1"/>
    <xf numFmtId="0" fontId="13" fillId="0" borderId="4" xfId="0" applyFont="1" applyBorder="1" applyAlignment="1">
      <alignment horizontal="right"/>
    </xf>
    <xf numFmtId="3" fontId="12" fillId="0" borderId="5" xfId="0" applyNumberFormat="1" applyFont="1" applyBorder="1" applyAlignment="1">
      <alignment horizontal="right"/>
    </xf>
    <xf numFmtId="0" fontId="15" fillId="0" borderId="5" xfId="0" applyFont="1" applyBorder="1"/>
    <xf numFmtId="0" fontId="12" fillId="0" borderId="7" xfId="0" applyFont="1" applyBorder="1"/>
    <xf numFmtId="0" fontId="13" fillId="6" borderId="0" xfId="0" applyFont="1" applyFill="1"/>
    <xf numFmtId="0" fontId="13" fillId="0" borderId="6" xfId="0" applyFont="1" applyBorder="1" applyAlignment="1">
      <alignment horizontal="right"/>
    </xf>
    <xf numFmtId="3" fontId="13" fillId="0" borderId="7" xfId="0" applyNumberFormat="1" applyFont="1" applyBorder="1" applyAlignment="1">
      <alignment horizontal="right"/>
    </xf>
    <xf numFmtId="3" fontId="13" fillId="3" borderId="13" xfId="0" applyNumberFormat="1" applyFont="1" applyFill="1" applyBorder="1" applyAlignment="1">
      <alignment horizontal="right"/>
    </xf>
    <xf numFmtId="0" fontId="0" fillId="3" borderId="13" xfId="0" applyFill="1" applyBorder="1" applyAlignment="1">
      <alignment horizontal="right"/>
    </xf>
    <xf numFmtId="1" fontId="13" fillId="10" borderId="0" xfId="0" applyNumberFormat="1" applyFont="1" applyFill="1"/>
    <xf numFmtId="0" fontId="11" fillId="11" borderId="0" xfId="0" applyFont="1" applyFill="1"/>
    <xf numFmtId="10" fontId="12" fillId="0" borderId="7" xfId="0" applyNumberFormat="1" applyFont="1" applyBorder="1"/>
    <xf numFmtId="165" fontId="13" fillId="10" borderId="0" xfId="0" applyNumberFormat="1" applyFont="1" applyFill="1"/>
    <xf numFmtId="0" fontId="3" fillId="11" borderId="0" xfId="0" applyFont="1" applyFill="1"/>
    <xf numFmtId="0" fontId="0" fillId="11" borderId="0" xfId="0" applyFill="1"/>
    <xf numFmtId="0" fontId="3" fillId="8" borderId="0" xfId="0" applyFont="1" applyFill="1" applyAlignment="1">
      <alignment horizontal="center"/>
    </xf>
    <xf numFmtId="0" fontId="3" fillId="8" borderId="14" xfId="0" applyFont="1" applyFill="1" applyBorder="1" applyAlignment="1">
      <alignment horizontal="center"/>
    </xf>
    <xf numFmtId="0" fontId="3" fillId="0" borderId="15" xfId="0" applyFont="1" applyBorder="1"/>
    <xf numFmtId="0" fontId="0" fillId="12" borderId="16" xfId="0" applyFill="1" applyBorder="1" applyAlignment="1">
      <alignment horizontal="center"/>
    </xf>
    <xf numFmtId="0" fontId="0" fillId="12" borderId="17" xfId="0" applyFill="1" applyBorder="1" applyAlignment="1">
      <alignment horizontal="center"/>
    </xf>
    <xf numFmtId="0" fontId="0" fillId="12" borderId="18" xfId="0" applyFill="1" applyBorder="1" applyAlignment="1">
      <alignment horizontal="center"/>
    </xf>
    <xf numFmtId="0" fontId="0" fillId="0" borderId="15" xfId="0" applyBorder="1"/>
    <xf numFmtId="0" fontId="16" fillId="0" borderId="15" xfId="0" applyFont="1" applyBorder="1"/>
    <xf numFmtId="0" fontId="0" fillId="0" borderId="15" xfId="0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3" fillId="0" borderId="15" xfId="0" applyFont="1" applyBorder="1" applyAlignment="1">
      <alignment horizontal="right"/>
    </xf>
    <xf numFmtId="0" fontId="3" fillId="2" borderId="16" xfId="0" applyFont="1" applyFill="1" applyBorder="1"/>
    <xf numFmtId="0" fontId="3" fillId="2" borderId="18" xfId="0" applyFont="1" applyFill="1" applyBorder="1"/>
    <xf numFmtId="0" fontId="3" fillId="2" borderId="15" xfId="0" applyFont="1" applyFill="1" applyBorder="1"/>
    <xf numFmtId="0" fontId="3" fillId="0" borderId="0" xfId="0" applyFont="1"/>
    <xf numFmtId="0" fontId="3" fillId="0" borderId="15" xfId="0" applyFont="1" applyBorder="1" applyAlignment="1">
      <alignment horizontal="center"/>
    </xf>
    <xf numFmtId="0" fontId="17" fillId="0" borderId="0" xfId="0" applyFont="1" applyAlignment="1">
      <alignment vertical="center"/>
    </xf>
    <xf numFmtId="0" fontId="18" fillId="0" borderId="0" xfId="0" applyFont="1"/>
    <xf numFmtId="0" fontId="0" fillId="0" borderId="0" xfId="0"/>
    <xf numFmtId="0" fontId="0" fillId="0" borderId="15" xfId="0" applyBorder="1"/>
    <xf numFmtId="0" fontId="0" fillId="0" borderId="15" xfId="0" applyBorder="1" applyAlignment="1">
      <alignment horizontal="center"/>
    </xf>
    <xf numFmtId="0" fontId="3" fillId="0" borderId="15" xfId="0" applyFont="1" applyBorder="1"/>
    <xf numFmtId="0" fontId="3" fillId="0" borderId="15" xfId="0" applyFont="1" applyBorder="1" applyAlignment="1">
      <alignment horizontal="right"/>
    </xf>
    <xf numFmtId="0" fontId="16" fillId="0" borderId="15" xfId="0" applyFont="1" applyBorder="1"/>
    <xf numFmtId="0" fontId="0" fillId="0" borderId="9" xfId="0" applyBorder="1"/>
    <xf numFmtId="0" fontId="3" fillId="11" borderId="0" xfId="0" applyFont="1" applyFill="1"/>
    <xf numFmtId="0" fontId="0" fillId="11" borderId="0" xfId="0" applyFill="1"/>
    <xf numFmtId="0" fontId="3" fillId="0" borderId="15" xfId="0" applyFont="1" applyBorder="1" applyAlignment="1">
      <alignment horizontal="center"/>
    </xf>
    <xf numFmtId="0" fontId="3" fillId="2" borderId="15" xfId="0" applyFont="1" applyFill="1" applyBorder="1"/>
    <xf numFmtId="0" fontId="3" fillId="0" borderId="0" xfId="0" applyFont="1"/>
    <xf numFmtId="0" fontId="0" fillId="0" borderId="0" xfId="0" applyAlignment="1">
      <alignment vertical="center"/>
    </xf>
    <xf numFmtId="0" fontId="17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66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30480</xdr:colOff>
      <xdr:row>0</xdr:row>
      <xdr:rowOff>68580</xdr:rowOff>
    </xdr:from>
    <xdr:to>
      <xdr:col>20</xdr:col>
      <xdr:colOff>438308</xdr:colOff>
      <xdr:row>23</xdr:row>
      <xdr:rowOff>87629</xdr:rowOff>
    </xdr:to>
    <xdr:pic>
      <xdr:nvPicPr>
        <xdr:cNvPr id="2" name="Bildobjekt 3">
          <a:extLst>
            <a:ext uri="{FF2B5EF4-FFF2-40B4-BE49-F238E27FC236}">
              <a16:creationId xmlns:a16="http://schemas.microsoft.com/office/drawing/2014/main" id="{7A8C6E77-531C-4BB4-A769-860A9FB4C5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39000" y="68580"/>
          <a:ext cx="5467508" cy="430148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53340</xdr:colOff>
      <xdr:row>0</xdr:row>
      <xdr:rowOff>68580</xdr:rowOff>
    </xdr:from>
    <xdr:to>
      <xdr:col>21</xdr:col>
      <xdr:colOff>111152</xdr:colOff>
      <xdr:row>26</xdr:row>
      <xdr:rowOff>125729</xdr:rowOff>
    </xdr:to>
    <xdr:pic>
      <xdr:nvPicPr>
        <xdr:cNvPr id="2" name="Bildobjekt 2">
          <a:extLst>
            <a:ext uri="{FF2B5EF4-FFF2-40B4-BE49-F238E27FC236}">
              <a16:creationId xmlns:a16="http://schemas.microsoft.com/office/drawing/2014/main" id="{0C2EBC4A-2498-48A8-886F-94A107FF9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80960" y="68580"/>
          <a:ext cx="6245252" cy="48653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zoomScale="67" workbookViewId="0">
      <selection activeCell="B16" sqref="B16"/>
    </sheetView>
  </sheetViews>
  <sheetFormatPr defaultRowHeight="25.8" x14ac:dyDescent="0.5"/>
  <cols>
    <col min="1" max="1" width="28.109375" style="2" bestFit="1" customWidth="1"/>
    <col min="2" max="2" width="14.77734375" style="2" bestFit="1" customWidth="1"/>
    <col min="3" max="3" width="8.88671875" style="2"/>
    <col min="4" max="4" width="14.44140625" style="2" bestFit="1" customWidth="1"/>
    <col min="5" max="5" width="27" style="2" bestFit="1" customWidth="1"/>
    <col min="6" max="6" width="14.77734375" style="2" bestFit="1" customWidth="1"/>
    <col min="7" max="7" width="13.77734375" style="2" bestFit="1" customWidth="1"/>
    <col min="8" max="8" width="25.33203125" style="2" bestFit="1" customWidth="1"/>
    <col min="9" max="9" width="14.77734375" style="2" bestFit="1" customWidth="1"/>
    <col min="10" max="16384" width="8.88671875" style="2"/>
  </cols>
  <sheetData>
    <row r="1" spans="1:9" x14ac:dyDescent="0.5">
      <c r="A1" s="1" t="s">
        <v>17</v>
      </c>
    </row>
    <row r="3" spans="1:9" x14ac:dyDescent="0.5">
      <c r="A3" s="3" t="s">
        <v>18</v>
      </c>
      <c r="B3" s="3"/>
      <c r="E3" s="4" t="s">
        <v>19</v>
      </c>
      <c r="F3" s="4"/>
      <c r="H3" s="2" t="s">
        <v>5</v>
      </c>
      <c r="I3" s="2">
        <v>250000</v>
      </c>
    </row>
    <row r="4" spans="1:9" x14ac:dyDescent="0.5">
      <c r="A4" s="2" t="s">
        <v>0</v>
      </c>
      <c r="B4" s="2">
        <v>6000</v>
      </c>
      <c r="E4" s="2" t="s">
        <v>0</v>
      </c>
      <c r="F4" s="2">
        <v>5000</v>
      </c>
      <c r="H4" s="2" t="s">
        <v>6</v>
      </c>
      <c r="I4" s="2">
        <f>2*20000*12</f>
        <v>480000</v>
      </c>
    </row>
    <row r="5" spans="1:9" ht="26.4" thickBot="1" x14ac:dyDescent="0.55000000000000004">
      <c r="A5" s="2" t="s">
        <v>1</v>
      </c>
      <c r="B5" s="5">
        <v>4000</v>
      </c>
      <c r="E5" s="2" t="s">
        <v>1</v>
      </c>
      <c r="F5" s="5">
        <v>3000</v>
      </c>
      <c r="H5" s="2" t="s">
        <v>7</v>
      </c>
      <c r="I5" s="2">
        <v>20000</v>
      </c>
    </row>
    <row r="6" spans="1:9" ht="26.4" thickTop="1" x14ac:dyDescent="0.5">
      <c r="A6" s="2" t="s">
        <v>2</v>
      </c>
      <c r="B6" s="2">
        <f>B4-B5</f>
        <v>2000</v>
      </c>
      <c r="E6" s="2" t="s">
        <v>2</v>
      </c>
      <c r="F6" s="2">
        <f>F4-F5</f>
        <v>2000</v>
      </c>
      <c r="H6" s="2" t="s">
        <v>8</v>
      </c>
      <c r="I6" s="2">
        <v>50000</v>
      </c>
    </row>
    <row r="7" spans="1:9" x14ac:dyDescent="0.5">
      <c r="A7" s="2" t="s">
        <v>3</v>
      </c>
      <c r="B7" s="2">
        <v>300</v>
      </c>
      <c r="E7" s="2" t="s">
        <v>3</v>
      </c>
      <c r="F7" s="2">
        <v>500</v>
      </c>
      <c r="H7" s="2" t="s">
        <v>9</v>
      </c>
      <c r="I7" s="2">
        <v>50000</v>
      </c>
    </row>
    <row r="8" spans="1:9" x14ac:dyDescent="0.5">
      <c r="A8" s="3" t="s">
        <v>4</v>
      </c>
      <c r="B8" s="3">
        <f>B6*B7</f>
        <v>600000</v>
      </c>
      <c r="E8" s="4" t="s">
        <v>4</v>
      </c>
      <c r="F8" s="4">
        <f>F6*F7</f>
        <v>1000000</v>
      </c>
      <c r="H8" s="2" t="s">
        <v>10</v>
      </c>
      <c r="I8" s="2">
        <f>SUM(I3:I7)</f>
        <v>850000</v>
      </c>
    </row>
    <row r="10" spans="1:9" x14ac:dyDescent="0.5">
      <c r="A10" s="2" t="s">
        <v>12</v>
      </c>
      <c r="B10" s="2">
        <f>B4*B7</f>
        <v>1800000</v>
      </c>
      <c r="E10" s="2" t="s">
        <v>12</v>
      </c>
      <c r="F10" s="2">
        <f>F4*F7</f>
        <v>2500000</v>
      </c>
      <c r="H10" s="2" t="s">
        <v>12</v>
      </c>
      <c r="I10" s="2">
        <f>B10+F10</f>
        <v>4300000</v>
      </c>
    </row>
    <row r="11" spans="1:9" x14ac:dyDescent="0.5">
      <c r="A11" s="2" t="s">
        <v>21</v>
      </c>
      <c r="B11" s="2">
        <f>B5*B7</f>
        <v>1200000</v>
      </c>
      <c r="E11" s="2" t="s">
        <v>21</v>
      </c>
      <c r="F11" s="2">
        <f>F5*F7</f>
        <v>1500000</v>
      </c>
      <c r="H11" s="2" t="s">
        <v>11</v>
      </c>
      <c r="I11" s="2">
        <f>B11+F11</f>
        <v>2700000</v>
      </c>
    </row>
    <row r="12" spans="1:9" x14ac:dyDescent="0.5">
      <c r="A12" s="2" t="s">
        <v>20</v>
      </c>
      <c r="B12" s="2">
        <f>B10-B11</f>
        <v>600000</v>
      </c>
      <c r="E12" s="2" t="s">
        <v>20</v>
      </c>
      <c r="F12" s="2">
        <f>F10-F11</f>
        <v>1000000</v>
      </c>
      <c r="H12" s="2" t="s">
        <v>13</v>
      </c>
      <c r="I12" s="2">
        <f>I10-I11</f>
        <v>1600000</v>
      </c>
    </row>
    <row r="13" spans="1:9" x14ac:dyDescent="0.5">
      <c r="H13" s="2" t="s">
        <v>14</v>
      </c>
      <c r="I13" s="2">
        <v>850000</v>
      </c>
    </row>
    <row r="14" spans="1:9" x14ac:dyDescent="0.5">
      <c r="H14" s="2" t="s">
        <v>15</v>
      </c>
      <c r="I14" s="2">
        <v>750000</v>
      </c>
    </row>
    <row r="16" spans="1:9" x14ac:dyDescent="0.5">
      <c r="A16" s="2" t="s">
        <v>16</v>
      </c>
      <c r="B16" s="2">
        <f>I13/B6</f>
        <v>425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B4E9F-8539-4B66-AF32-721A49BD9BE6}">
  <dimension ref="A1:C76"/>
  <sheetViews>
    <sheetView topLeftCell="B1" workbookViewId="0">
      <selection activeCell="B76" sqref="B76"/>
    </sheetView>
  </sheetViews>
  <sheetFormatPr defaultRowHeight="14.4" x14ac:dyDescent="0.3"/>
  <cols>
    <col min="1" max="1" width="11" customWidth="1"/>
    <col min="2" max="2" width="77.33203125" customWidth="1"/>
    <col min="3" max="3" width="9.77734375" customWidth="1"/>
  </cols>
  <sheetData>
    <row r="1" spans="1:3" ht="15" thickBot="1" x14ac:dyDescent="0.35">
      <c r="A1" s="6"/>
    </row>
    <row r="2" spans="1:3" ht="18" x14ac:dyDescent="0.3">
      <c r="B2" s="7" t="s">
        <v>22</v>
      </c>
      <c r="C2" s="8"/>
    </row>
    <row r="3" spans="1:3" x14ac:dyDescent="0.3">
      <c r="B3" s="9" t="s">
        <v>23</v>
      </c>
      <c r="C3" s="10"/>
    </row>
    <row r="4" spans="1:3" x14ac:dyDescent="0.3">
      <c r="B4" s="11" t="s">
        <v>24</v>
      </c>
      <c r="C4" s="10"/>
    </row>
    <row r="5" spans="1:3" x14ac:dyDescent="0.3">
      <c r="B5" s="9" t="s">
        <v>25</v>
      </c>
      <c r="C5" s="10"/>
    </row>
    <row r="6" spans="1:3" ht="15" thickBot="1" x14ac:dyDescent="0.35">
      <c r="B6" s="12" t="s">
        <v>26</v>
      </c>
      <c r="C6" s="13"/>
    </row>
    <row r="7" spans="1:3" x14ac:dyDescent="0.3">
      <c r="C7" s="14"/>
    </row>
    <row r="8" spans="1:3" x14ac:dyDescent="0.3">
      <c r="A8" s="6"/>
      <c r="B8" s="15" t="s">
        <v>27</v>
      </c>
      <c r="C8" s="16">
        <v>1200000</v>
      </c>
    </row>
    <row r="9" spans="1:3" x14ac:dyDescent="0.3">
      <c r="B9" s="17" t="s">
        <v>28</v>
      </c>
      <c r="C9" s="16">
        <v>6500</v>
      </c>
    </row>
    <row r="10" spans="1:3" x14ac:dyDescent="0.3">
      <c r="B10" s="17" t="s">
        <v>29</v>
      </c>
      <c r="C10" s="16">
        <v>3000</v>
      </c>
    </row>
    <row r="11" spans="1:3" x14ac:dyDescent="0.3">
      <c r="B11" s="17" t="s">
        <v>30</v>
      </c>
      <c r="C11" s="16">
        <v>400</v>
      </c>
    </row>
    <row r="12" spans="1:3" x14ac:dyDescent="0.3">
      <c r="A12" s="18"/>
    </row>
    <row r="13" spans="1:3" x14ac:dyDescent="0.3">
      <c r="B13" s="18" t="s">
        <v>31</v>
      </c>
    </row>
    <row r="14" spans="1:3" x14ac:dyDescent="0.3">
      <c r="B14" s="19" t="s">
        <v>32</v>
      </c>
    </row>
    <row r="15" spans="1:3" x14ac:dyDescent="0.3">
      <c r="A15" s="20"/>
      <c r="B15" s="21"/>
    </row>
    <row r="16" spans="1:3" x14ac:dyDescent="0.3">
      <c r="A16" s="20"/>
      <c r="B16" s="22" t="s">
        <v>33</v>
      </c>
    </row>
    <row r="17" spans="1:2" x14ac:dyDescent="0.3">
      <c r="A17" s="6"/>
      <c r="B17" s="23" t="s">
        <v>34</v>
      </c>
    </row>
    <row r="18" spans="1:2" x14ac:dyDescent="0.3">
      <c r="B18" s="23"/>
    </row>
    <row r="19" spans="1:2" x14ac:dyDescent="0.3">
      <c r="A19" s="20"/>
      <c r="B19" s="22" t="s">
        <v>35</v>
      </c>
    </row>
    <row r="20" spans="1:2" x14ac:dyDescent="0.3">
      <c r="A20" s="20"/>
      <c r="B20" s="24">
        <f>C9-C10</f>
        <v>3500</v>
      </c>
    </row>
    <row r="21" spans="1:2" x14ac:dyDescent="0.3">
      <c r="A21" s="6"/>
    </row>
    <row r="22" spans="1:2" x14ac:dyDescent="0.3">
      <c r="B22" s="19" t="s">
        <v>36</v>
      </c>
    </row>
    <row r="23" spans="1:2" x14ac:dyDescent="0.3">
      <c r="A23" s="20"/>
      <c r="B23" s="22"/>
    </row>
    <row r="24" spans="1:2" x14ac:dyDescent="0.3">
      <c r="A24" s="20"/>
      <c r="B24" s="22" t="s">
        <v>33</v>
      </c>
    </row>
    <row r="25" spans="1:2" x14ac:dyDescent="0.3">
      <c r="A25" s="20"/>
      <c r="B25" s="23" t="s">
        <v>37</v>
      </c>
    </row>
    <row r="26" spans="1:2" x14ac:dyDescent="0.3">
      <c r="B26" s="23"/>
    </row>
    <row r="27" spans="1:2" x14ac:dyDescent="0.3">
      <c r="A27" s="20"/>
      <c r="B27" s="22" t="s">
        <v>35</v>
      </c>
    </row>
    <row r="28" spans="1:2" x14ac:dyDescent="0.3">
      <c r="A28" s="20"/>
      <c r="B28" s="25">
        <f>B20/C9</f>
        <v>0.53846153846153844</v>
      </c>
    </row>
    <row r="29" spans="1:2" x14ac:dyDescent="0.3">
      <c r="A29" s="6"/>
    </row>
    <row r="30" spans="1:2" x14ac:dyDescent="0.3">
      <c r="B30" s="19" t="s">
        <v>38</v>
      </c>
    </row>
    <row r="31" spans="1:2" x14ac:dyDescent="0.3">
      <c r="A31" s="20"/>
      <c r="B31" s="22"/>
    </row>
    <row r="32" spans="1:2" x14ac:dyDescent="0.3">
      <c r="A32" s="6"/>
      <c r="B32" s="22" t="s">
        <v>33</v>
      </c>
    </row>
    <row r="33" spans="1:2" x14ac:dyDescent="0.3">
      <c r="B33" s="23" t="s">
        <v>39</v>
      </c>
    </row>
    <row r="34" spans="1:2" x14ac:dyDescent="0.3">
      <c r="A34" s="6"/>
      <c r="B34" s="23" t="s">
        <v>40</v>
      </c>
    </row>
    <row r="35" spans="1:2" x14ac:dyDescent="0.3">
      <c r="A35" s="20"/>
      <c r="B35" s="22" t="s">
        <v>35</v>
      </c>
    </row>
    <row r="36" spans="1:2" x14ac:dyDescent="0.3">
      <c r="A36" s="20"/>
      <c r="B36" s="24">
        <f>C9*C11</f>
        <v>2600000</v>
      </c>
    </row>
    <row r="37" spans="1:2" x14ac:dyDescent="0.3">
      <c r="A37" s="6"/>
    </row>
    <row r="38" spans="1:2" x14ac:dyDescent="0.3">
      <c r="B38" s="19" t="s">
        <v>41</v>
      </c>
    </row>
    <row r="39" spans="1:2" x14ac:dyDescent="0.3">
      <c r="A39" s="20"/>
      <c r="B39" s="22"/>
    </row>
    <row r="40" spans="1:2" x14ac:dyDescent="0.3">
      <c r="A40" s="20"/>
      <c r="B40" s="22" t="s">
        <v>33</v>
      </c>
    </row>
    <row r="41" spans="1:2" x14ac:dyDescent="0.3">
      <c r="A41" s="26"/>
      <c r="B41" s="23" t="s">
        <v>42</v>
      </c>
    </row>
    <row r="42" spans="1:2" x14ac:dyDescent="0.3">
      <c r="A42" s="20"/>
      <c r="B42" s="23" t="s">
        <v>43</v>
      </c>
    </row>
    <row r="43" spans="1:2" x14ac:dyDescent="0.3">
      <c r="A43" s="20"/>
      <c r="B43" s="22" t="s">
        <v>35</v>
      </c>
    </row>
    <row r="44" spans="1:2" x14ac:dyDescent="0.3">
      <c r="A44" s="20"/>
      <c r="B44" s="24">
        <f>C10*C11</f>
        <v>1200000</v>
      </c>
    </row>
    <row r="45" spans="1:2" x14ac:dyDescent="0.3">
      <c r="A45" s="26"/>
    </row>
    <row r="46" spans="1:2" x14ac:dyDescent="0.3">
      <c r="A46" s="20"/>
      <c r="B46" s="19" t="s">
        <v>44</v>
      </c>
    </row>
    <row r="47" spans="1:2" x14ac:dyDescent="0.3">
      <c r="A47" s="20"/>
      <c r="B47" s="22"/>
    </row>
    <row r="48" spans="1:2" x14ac:dyDescent="0.3">
      <c r="B48" s="22" t="s">
        <v>33</v>
      </c>
    </row>
    <row r="49" spans="1:2" x14ac:dyDescent="0.3">
      <c r="A49" s="27"/>
      <c r="B49" s="23" t="s">
        <v>45</v>
      </c>
    </row>
    <row r="50" spans="1:2" x14ac:dyDescent="0.3">
      <c r="A50" s="27"/>
      <c r="B50" s="23" t="s">
        <v>46</v>
      </c>
    </row>
    <row r="51" spans="1:2" x14ac:dyDescent="0.3">
      <c r="A51" s="27"/>
      <c r="B51" s="22" t="s">
        <v>35</v>
      </c>
    </row>
    <row r="52" spans="1:2" x14ac:dyDescent="0.3">
      <c r="B52" s="24">
        <f>C8+B44</f>
        <v>2400000</v>
      </c>
    </row>
    <row r="54" spans="1:2" x14ac:dyDescent="0.3">
      <c r="B54" s="19" t="s">
        <v>47</v>
      </c>
    </row>
    <row r="55" spans="1:2" x14ac:dyDescent="0.3">
      <c r="B55" s="22"/>
    </row>
    <row r="56" spans="1:2" x14ac:dyDescent="0.3">
      <c r="B56" s="22" t="s">
        <v>33</v>
      </c>
    </row>
    <row r="57" spans="1:2" x14ac:dyDescent="0.3">
      <c r="B57" s="23" t="s">
        <v>48</v>
      </c>
    </row>
    <row r="58" spans="1:2" x14ac:dyDescent="0.3">
      <c r="B58" s="23" t="s">
        <v>46</v>
      </c>
    </row>
    <row r="59" spans="1:2" x14ac:dyDescent="0.3">
      <c r="B59" s="22" t="s">
        <v>35</v>
      </c>
    </row>
    <row r="60" spans="1:2" x14ac:dyDescent="0.3">
      <c r="B60" s="24">
        <f>C8/B20</f>
        <v>342.85714285714283</v>
      </c>
    </row>
    <row r="62" spans="1:2" x14ac:dyDescent="0.3">
      <c r="B62" s="19" t="s">
        <v>49</v>
      </c>
    </row>
    <row r="63" spans="1:2" x14ac:dyDescent="0.3">
      <c r="B63" s="22"/>
    </row>
    <row r="64" spans="1:2" x14ac:dyDescent="0.3">
      <c r="B64" s="22" t="s">
        <v>33</v>
      </c>
    </row>
    <row r="65" spans="2:2" x14ac:dyDescent="0.3">
      <c r="B65" s="23" t="s">
        <v>50</v>
      </c>
    </row>
    <row r="66" spans="2:2" x14ac:dyDescent="0.3">
      <c r="B66" s="23" t="s">
        <v>46</v>
      </c>
    </row>
    <row r="67" spans="2:2" x14ac:dyDescent="0.3">
      <c r="B67" s="22" t="s">
        <v>35</v>
      </c>
    </row>
    <row r="68" spans="2:2" x14ac:dyDescent="0.3">
      <c r="B68" s="24">
        <f>B36-B44-C8</f>
        <v>200000</v>
      </c>
    </row>
    <row r="70" spans="2:2" x14ac:dyDescent="0.3">
      <c r="B70" s="19" t="s">
        <v>51</v>
      </c>
    </row>
    <row r="71" spans="2:2" x14ac:dyDescent="0.3">
      <c r="B71" s="22"/>
    </row>
    <row r="72" spans="2:2" x14ac:dyDescent="0.3">
      <c r="B72" s="22" t="s">
        <v>33</v>
      </c>
    </row>
    <row r="73" spans="2:2" x14ac:dyDescent="0.3">
      <c r="B73" s="23" t="s">
        <v>52</v>
      </c>
    </row>
    <row r="74" spans="2:2" x14ac:dyDescent="0.3">
      <c r="B74" s="23" t="s">
        <v>46</v>
      </c>
    </row>
    <row r="75" spans="2:2" x14ac:dyDescent="0.3">
      <c r="B75" s="22" t="s">
        <v>35</v>
      </c>
    </row>
    <row r="76" spans="2:2" x14ac:dyDescent="0.3">
      <c r="B76" s="25">
        <f>B68/B36</f>
        <v>7.6923076923076927E-2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DFA3B-7795-4F6C-B83C-55DAA6EFA97D}">
  <dimension ref="A1:C76"/>
  <sheetViews>
    <sheetView topLeftCell="A55" workbookViewId="0">
      <selection activeCell="B8" sqref="B8"/>
    </sheetView>
  </sheetViews>
  <sheetFormatPr defaultRowHeight="14.4" x14ac:dyDescent="0.3"/>
  <cols>
    <col min="1" max="1" width="11" customWidth="1"/>
    <col min="2" max="2" width="77.33203125" customWidth="1"/>
    <col min="3" max="3" width="13.44140625" customWidth="1"/>
  </cols>
  <sheetData>
    <row r="1" spans="1:3" ht="15" thickBot="1" x14ac:dyDescent="0.35">
      <c r="A1" s="6"/>
    </row>
    <row r="2" spans="1:3" ht="18" x14ac:dyDescent="0.3">
      <c r="B2" s="7" t="s">
        <v>53</v>
      </c>
      <c r="C2" s="8"/>
    </row>
    <row r="3" spans="1:3" x14ac:dyDescent="0.3">
      <c r="B3" s="9" t="s">
        <v>54</v>
      </c>
      <c r="C3" s="10"/>
    </row>
    <row r="4" spans="1:3" x14ac:dyDescent="0.3">
      <c r="B4" s="11" t="s">
        <v>55</v>
      </c>
      <c r="C4" s="10"/>
    </row>
    <row r="5" spans="1:3" x14ac:dyDescent="0.3">
      <c r="B5" s="9" t="s">
        <v>56</v>
      </c>
      <c r="C5" s="10"/>
    </row>
    <row r="6" spans="1:3" ht="15" thickBot="1" x14ac:dyDescent="0.35">
      <c r="B6" s="12" t="s">
        <v>57</v>
      </c>
      <c r="C6" s="13"/>
    </row>
    <row r="7" spans="1:3" x14ac:dyDescent="0.3">
      <c r="C7" s="14"/>
    </row>
    <row r="8" spans="1:3" x14ac:dyDescent="0.3">
      <c r="A8" s="6"/>
      <c r="B8" s="15" t="s">
        <v>27</v>
      </c>
      <c r="C8" s="16">
        <v>2800000</v>
      </c>
    </row>
    <row r="9" spans="1:3" x14ac:dyDescent="0.3">
      <c r="B9" s="17" t="s">
        <v>28</v>
      </c>
      <c r="C9" s="16">
        <v>11000</v>
      </c>
    </row>
    <row r="10" spans="1:3" x14ac:dyDescent="0.3">
      <c r="B10" s="17" t="s">
        <v>29</v>
      </c>
      <c r="C10" s="16">
        <v>5000</v>
      </c>
    </row>
    <row r="11" spans="1:3" x14ac:dyDescent="0.3">
      <c r="B11" s="17" t="s">
        <v>30</v>
      </c>
      <c r="C11" s="16">
        <v>650</v>
      </c>
    </row>
    <row r="12" spans="1:3" x14ac:dyDescent="0.3">
      <c r="A12" s="18"/>
      <c r="C12" s="14"/>
    </row>
    <row r="13" spans="1:3" x14ac:dyDescent="0.3">
      <c r="B13" s="18" t="s">
        <v>58</v>
      </c>
      <c r="C13" s="14"/>
    </row>
    <row r="14" spans="1:3" x14ac:dyDescent="0.3">
      <c r="B14" s="19" t="s">
        <v>32</v>
      </c>
      <c r="C14" s="14"/>
    </row>
    <row r="15" spans="1:3" x14ac:dyDescent="0.3">
      <c r="A15" s="20"/>
      <c r="B15" s="22"/>
      <c r="C15" s="14"/>
    </row>
    <row r="16" spans="1:3" x14ac:dyDescent="0.3">
      <c r="A16" s="20"/>
      <c r="B16" s="22" t="s">
        <v>33</v>
      </c>
      <c r="C16" s="14"/>
    </row>
    <row r="17" spans="1:3" x14ac:dyDescent="0.3">
      <c r="A17" s="6"/>
      <c r="B17" s="23"/>
      <c r="C17" s="14"/>
    </row>
    <row r="18" spans="1:3" x14ac:dyDescent="0.3">
      <c r="B18" s="23" t="s">
        <v>46</v>
      </c>
      <c r="C18" s="14"/>
    </row>
    <row r="19" spans="1:3" x14ac:dyDescent="0.3">
      <c r="A19" s="20"/>
      <c r="B19" s="22" t="s">
        <v>35</v>
      </c>
      <c r="C19" s="14"/>
    </row>
    <row r="20" spans="1:3" x14ac:dyDescent="0.3">
      <c r="A20" s="20"/>
      <c r="B20" s="24">
        <f>C9-C10</f>
        <v>6000</v>
      </c>
      <c r="C20" s="14"/>
    </row>
    <row r="21" spans="1:3" x14ac:dyDescent="0.3">
      <c r="A21" s="6"/>
      <c r="C21" s="14"/>
    </row>
    <row r="22" spans="1:3" x14ac:dyDescent="0.3">
      <c r="B22" s="19" t="s">
        <v>36</v>
      </c>
      <c r="C22" s="14"/>
    </row>
    <row r="23" spans="1:3" x14ac:dyDescent="0.3">
      <c r="A23" s="20"/>
      <c r="B23" s="22"/>
      <c r="C23" s="14"/>
    </row>
    <row r="24" spans="1:3" x14ac:dyDescent="0.3">
      <c r="A24" s="20"/>
      <c r="B24" s="22" t="s">
        <v>33</v>
      </c>
      <c r="C24" s="14"/>
    </row>
    <row r="25" spans="1:3" x14ac:dyDescent="0.3">
      <c r="A25" s="20"/>
      <c r="B25" s="23"/>
      <c r="C25" s="14"/>
    </row>
    <row r="26" spans="1:3" x14ac:dyDescent="0.3">
      <c r="B26" s="23" t="s">
        <v>46</v>
      </c>
      <c r="C26" s="14"/>
    </row>
    <row r="27" spans="1:3" x14ac:dyDescent="0.3">
      <c r="A27" s="20"/>
      <c r="B27" s="22" t="s">
        <v>35</v>
      </c>
      <c r="C27" s="14"/>
    </row>
    <row r="28" spans="1:3" x14ac:dyDescent="0.3">
      <c r="A28" s="20"/>
      <c r="B28" s="25">
        <f>B20/C9</f>
        <v>0.54545454545454541</v>
      </c>
      <c r="C28" s="28"/>
    </row>
    <row r="29" spans="1:3" x14ac:dyDescent="0.3">
      <c r="A29" s="6"/>
      <c r="C29" s="14"/>
    </row>
    <row r="30" spans="1:3" x14ac:dyDescent="0.3">
      <c r="B30" s="19" t="s">
        <v>38</v>
      </c>
      <c r="C30" s="14"/>
    </row>
    <row r="31" spans="1:3" x14ac:dyDescent="0.3">
      <c r="A31" s="20"/>
      <c r="B31" s="22"/>
      <c r="C31" s="14"/>
    </row>
    <row r="32" spans="1:3" x14ac:dyDescent="0.3">
      <c r="A32" s="6"/>
      <c r="B32" s="22" t="s">
        <v>33</v>
      </c>
      <c r="C32" s="14"/>
    </row>
    <row r="33" spans="1:3" x14ac:dyDescent="0.3">
      <c r="B33" s="23"/>
      <c r="C33" s="14"/>
    </row>
    <row r="34" spans="1:3" x14ac:dyDescent="0.3">
      <c r="A34" s="6"/>
      <c r="B34" s="23" t="s">
        <v>46</v>
      </c>
      <c r="C34" s="14"/>
    </row>
    <row r="35" spans="1:3" x14ac:dyDescent="0.3">
      <c r="A35" s="20"/>
      <c r="B35" s="22" t="s">
        <v>35</v>
      </c>
      <c r="C35" s="14"/>
    </row>
    <row r="36" spans="1:3" x14ac:dyDescent="0.3">
      <c r="A36" s="20"/>
      <c r="B36" s="24">
        <f>C9*C11</f>
        <v>7150000</v>
      </c>
      <c r="C36" s="14"/>
    </row>
    <row r="37" spans="1:3" x14ac:dyDescent="0.3">
      <c r="A37" s="6"/>
      <c r="C37" s="14"/>
    </row>
    <row r="38" spans="1:3" x14ac:dyDescent="0.3">
      <c r="B38" s="19" t="s">
        <v>41</v>
      </c>
      <c r="C38" s="14"/>
    </row>
    <row r="39" spans="1:3" x14ac:dyDescent="0.3">
      <c r="A39" s="20"/>
      <c r="B39" s="22"/>
      <c r="C39" s="14"/>
    </row>
    <row r="40" spans="1:3" x14ac:dyDescent="0.3">
      <c r="A40" s="20"/>
      <c r="B40" s="22" t="s">
        <v>33</v>
      </c>
      <c r="C40" s="14"/>
    </row>
    <row r="41" spans="1:3" x14ac:dyDescent="0.3">
      <c r="A41" s="26"/>
      <c r="B41" s="23"/>
      <c r="C41" s="14"/>
    </row>
    <row r="42" spans="1:3" x14ac:dyDescent="0.3">
      <c r="A42" s="20"/>
      <c r="B42" s="23" t="s">
        <v>46</v>
      </c>
      <c r="C42" s="14"/>
    </row>
    <row r="43" spans="1:3" x14ac:dyDescent="0.3">
      <c r="A43" s="20"/>
      <c r="B43" s="22" t="s">
        <v>35</v>
      </c>
      <c r="C43" s="14"/>
    </row>
    <row r="44" spans="1:3" x14ac:dyDescent="0.3">
      <c r="A44" s="20"/>
      <c r="B44" s="24">
        <f>C10*C11</f>
        <v>3250000</v>
      </c>
      <c r="C44" s="14"/>
    </row>
    <row r="45" spans="1:3" x14ac:dyDescent="0.3">
      <c r="A45" s="26"/>
      <c r="C45" s="14"/>
    </row>
    <row r="46" spans="1:3" x14ac:dyDescent="0.3">
      <c r="A46" s="20"/>
      <c r="B46" s="19" t="s">
        <v>44</v>
      </c>
      <c r="C46" s="14"/>
    </row>
    <row r="47" spans="1:3" x14ac:dyDescent="0.3">
      <c r="A47" s="20"/>
      <c r="B47" s="22"/>
      <c r="C47" s="14"/>
    </row>
    <row r="48" spans="1:3" x14ac:dyDescent="0.3">
      <c r="B48" s="22" t="s">
        <v>33</v>
      </c>
      <c r="C48" s="14"/>
    </row>
    <row r="49" spans="1:3" x14ac:dyDescent="0.3">
      <c r="A49" s="27"/>
      <c r="B49" s="23"/>
      <c r="C49" s="14"/>
    </row>
    <row r="50" spans="1:3" x14ac:dyDescent="0.3">
      <c r="A50" s="27"/>
      <c r="B50" s="23" t="s">
        <v>46</v>
      </c>
      <c r="C50" s="14"/>
    </row>
    <row r="51" spans="1:3" x14ac:dyDescent="0.3">
      <c r="A51" s="27"/>
      <c r="B51" s="22" t="s">
        <v>35</v>
      </c>
      <c r="C51" s="14"/>
    </row>
    <row r="52" spans="1:3" x14ac:dyDescent="0.3">
      <c r="B52" s="24">
        <f>B44+C8</f>
        <v>6050000</v>
      </c>
      <c r="C52" s="14"/>
    </row>
    <row r="53" spans="1:3" x14ac:dyDescent="0.3">
      <c r="C53" s="14"/>
    </row>
    <row r="54" spans="1:3" x14ac:dyDescent="0.3">
      <c r="B54" s="19" t="s">
        <v>59</v>
      </c>
      <c r="C54" s="14"/>
    </row>
    <row r="55" spans="1:3" x14ac:dyDescent="0.3">
      <c r="B55" s="22"/>
      <c r="C55" s="14"/>
    </row>
    <row r="56" spans="1:3" x14ac:dyDescent="0.3">
      <c r="B56" s="22" t="s">
        <v>33</v>
      </c>
      <c r="C56" s="14"/>
    </row>
    <row r="57" spans="1:3" x14ac:dyDescent="0.3">
      <c r="B57" s="23"/>
      <c r="C57" s="14"/>
    </row>
    <row r="58" spans="1:3" x14ac:dyDescent="0.3">
      <c r="B58" s="23" t="s">
        <v>46</v>
      </c>
      <c r="C58" s="14"/>
    </row>
    <row r="59" spans="1:3" x14ac:dyDescent="0.3">
      <c r="B59" s="22" t="s">
        <v>35</v>
      </c>
      <c r="C59" s="14"/>
    </row>
    <row r="60" spans="1:3" x14ac:dyDescent="0.3">
      <c r="B60" s="24">
        <f>C8/B20</f>
        <v>466.66666666666669</v>
      </c>
      <c r="C60" s="29"/>
    </row>
    <row r="61" spans="1:3" x14ac:dyDescent="0.3">
      <c r="C61" s="14"/>
    </row>
    <row r="62" spans="1:3" x14ac:dyDescent="0.3">
      <c r="B62" s="19" t="s">
        <v>49</v>
      </c>
      <c r="C62" s="14"/>
    </row>
    <row r="63" spans="1:3" x14ac:dyDescent="0.3">
      <c r="B63" s="22"/>
      <c r="C63" s="14"/>
    </row>
    <row r="64" spans="1:3" x14ac:dyDescent="0.3">
      <c r="B64" s="22" t="s">
        <v>33</v>
      </c>
      <c r="C64" s="14"/>
    </row>
    <row r="65" spans="2:3" x14ac:dyDescent="0.3">
      <c r="B65" s="23"/>
      <c r="C65" s="14"/>
    </row>
    <row r="66" spans="2:3" x14ac:dyDescent="0.3">
      <c r="B66" s="23" t="s">
        <v>46</v>
      </c>
      <c r="C66" s="14"/>
    </row>
    <row r="67" spans="2:3" x14ac:dyDescent="0.3">
      <c r="B67" s="22" t="s">
        <v>35</v>
      </c>
      <c r="C67" s="14"/>
    </row>
    <row r="68" spans="2:3" x14ac:dyDescent="0.3">
      <c r="B68" s="24">
        <f>B36-B52</f>
        <v>1100000</v>
      </c>
      <c r="C68" s="14"/>
    </row>
    <row r="69" spans="2:3" x14ac:dyDescent="0.3">
      <c r="C69" s="14"/>
    </row>
    <row r="70" spans="2:3" x14ac:dyDescent="0.3">
      <c r="B70" s="19" t="s">
        <v>51</v>
      </c>
      <c r="C70" s="14"/>
    </row>
    <row r="71" spans="2:3" x14ac:dyDescent="0.3">
      <c r="B71" s="22"/>
      <c r="C71" s="14"/>
    </row>
    <row r="72" spans="2:3" x14ac:dyDescent="0.3">
      <c r="B72" s="22" t="s">
        <v>33</v>
      </c>
      <c r="C72" s="14"/>
    </row>
    <row r="73" spans="2:3" x14ac:dyDescent="0.3">
      <c r="B73" s="23"/>
      <c r="C73" s="14"/>
    </row>
    <row r="74" spans="2:3" x14ac:dyDescent="0.3">
      <c r="B74" s="23" t="s">
        <v>46</v>
      </c>
      <c r="C74" s="14"/>
    </row>
    <row r="75" spans="2:3" x14ac:dyDescent="0.3">
      <c r="B75" s="22" t="s">
        <v>35</v>
      </c>
      <c r="C75" s="14"/>
    </row>
    <row r="76" spans="2:3" x14ac:dyDescent="0.3">
      <c r="B76" s="25">
        <f>B68/B36</f>
        <v>0.15384615384615385</v>
      </c>
      <c r="C76" s="2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9D52C-9481-4469-A3EE-F7B4EE9E74CA}">
  <dimension ref="B1:R26"/>
  <sheetViews>
    <sheetView tabSelected="1" workbookViewId="0">
      <selection activeCell="J13" sqref="J13"/>
    </sheetView>
  </sheetViews>
  <sheetFormatPr defaultRowHeight="14.4" x14ac:dyDescent="0.3"/>
  <cols>
    <col min="1" max="1" width="2" customWidth="1"/>
    <col min="2" max="2" width="3.21875" customWidth="1"/>
    <col min="3" max="3" width="21.21875" customWidth="1"/>
    <col min="4" max="4" width="9.44140625" customWidth="1"/>
    <col min="5" max="5" width="1.5546875" customWidth="1"/>
    <col min="6" max="6" width="3.33203125" customWidth="1"/>
    <col min="7" max="7" width="19.88671875" customWidth="1"/>
    <col min="8" max="8" width="9.21875" customWidth="1"/>
    <col min="9" max="9" width="1.5546875" customWidth="1"/>
    <col min="10" max="10" width="3.77734375" customWidth="1"/>
    <col min="11" max="11" width="19.21875" customWidth="1"/>
    <col min="12" max="12" width="9.21875" customWidth="1"/>
    <col min="13" max="13" width="1.5546875" customWidth="1"/>
    <col min="14" max="14" width="3.77734375" customWidth="1"/>
    <col min="15" max="15" width="19.6640625" customWidth="1"/>
    <col min="16" max="16" width="9.109375" customWidth="1"/>
  </cols>
  <sheetData>
    <row r="1" spans="2:18" x14ac:dyDescent="0.3">
      <c r="B1" s="67" t="s">
        <v>116</v>
      </c>
      <c r="C1" s="68"/>
      <c r="R1" s="18" t="s">
        <v>132</v>
      </c>
    </row>
    <row r="2" spans="2:18" ht="15" thickBot="1" x14ac:dyDescent="0.35">
      <c r="B2" s="69" t="s">
        <v>117</v>
      </c>
      <c r="C2" s="69"/>
      <c r="D2" s="69"/>
      <c r="F2" s="70" t="s">
        <v>118</v>
      </c>
      <c r="G2" s="70"/>
      <c r="H2" s="70"/>
      <c r="J2" s="70" t="s">
        <v>119</v>
      </c>
      <c r="K2" s="70"/>
      <c r="L2" s="70"/>
      <c r="N2" s="70" t="s">
        <v>12</v>
      </c>
      <c r="O2" s="70"/>
      <c r="P2" s="70"/>
    </row>
    <row r="3" spans="2:18" x14ac:dyDescent="0.3">
      <c r="B3" s="71" t="s">
        <v>120</v>
      </c>
      <c r="C3" s="71" t="s">
        <v>121</v>
      </c>
      <c r="D3" s="71" t="s">
        <v>122</v>
      </c>
      <c r="F3" s="71" t="s">
        <v>120</v>
      </c>
      <c r="G3" s="71" t="s">
        <v>121</v>
      </c>
      <c r="H3" s="71" t="s">
        <v>122</v>
      </c>
      <c r="J3" s="71" t="s">
        <v>120</v>
      </c>
      <c r="K3" s="71" t="s">
        <v>121</v>
      </c>
      <c r="L3" s="71" t="s">
        <v>122</v>
      </c>
      <c r="N3" s="71" t="s">
        <v>120</v>
      </c>
      <c r="O3" s="71" t="s">
        <v>121</v>
      </c>
      <c r="P3" s="71" t="s">
        <v>122</v>
      </c>
      <c r="R3" s="6" t="s">
        <v>133</v>
      </c>
    </row>
    <row r="4" spans="2:18" x14ac:dyDescent="0.3">
      <c r="B4" s="72" t="s">
        <v>123</v>
      </c>
      <c r="C4" s="73"/>
      <c r="D4" s="74"/>
      <c r="F4" s="72" t="s">
        <v>124</v>
      </c>
      <c r="G4" s="73"/>
      <c r="H4" s="74"/>
      <c r="J4" s="75"/>
      <c r="K4" s="75"/>
      <c r="L4" s="75"/>
      <c r="N4" s="75"/>
      <c r="O4" s="75"/>
      <c r="P4" s="75"/>
      <c r="R4" s="6" t="s">
        <v>134</v>
      </c>
    </row>
    <row r="5" spans="2:18" x14ac:dyDescent="0.3">
      <c r="B5" s="75"/>
      <c r="C5" s="75"/>
      <c r="D5" s="75"/>
      <c r="F5" s="75"/>
      <c r="G5" s="75"/>
      <c r="H5" s="75"/>
      <c r="J5" s="75"/>
      <c r="K5" s="75"/>
      <c r="L5" s="75"/>
      <c r="N5" s="75"/>
      <c r="O5" s="75"/>
      <c r="P5" s="75"/>
      <c r="R5" s="6" t="s">
        <v>135</v>
      </c>
    </row>
    <row r="6" spans="2:18" x14ac:dyDescent="0.3">
      <c r="B6" s="75"/>
      <c r="C6" s="75"/>
      <c r="D6" s="75"/>
      <c r="F6" s="75"/>
      <c r="G6" s="71" t="s">
        <v>125</v>
      </c>
      <c r="H6" s="76">
        <v>0</v>
      </c>
      <c r="J6" s="75"/>
      <c r="K6" s="75"/>
      <c r="L6" s="75"/>
      <c r="N6" s="75"/>
      <c r="O6" s="75"/>
      <c r="P6" s="75"/>
      <c r="R6" s="6" t="s">
        <v>136</v>
      </c>
    </row>
    <row r="7" spans="2:18" x14ac:dyDescent="0.3">
      <c r="B7" s="75"/>
      <c r="C7" s="75"/>
      <c r="D7" s="75"/>
      <c r="F7" s="75"/>
      <c r="G7" s="75"/>
      <c r="H7" s="75"/>
      <c r="J7" s="75"/>
      <c r="K7" s="75"/>
      <c r="L7" s="75"/>
      <c r="N7" s="75"/>
      <c r="O7" s="75"/>
      <c r="P7" s="75"/>
      <c r="R7" s="6" t="s">
        <v>137</v>
      </c>
    </row>
    <row r="8" spans="2:18" x14ac:dyDescent="0.3">
      <c r="B8" s="72" t="s">
        <v>126</v>
      </c>
      <c r="C8" s="73"/>
      <c r="D8" s="74"/>
      <c r="F8" s="72" t="s">
        <v>127</v>
      </c>
      <c r="G8" s="73"/>
      <c r="H8" s="74"/>
      <c r="J8" s="75"/>
      <c r="K8" s="75"/>
      <c r="L8" s="75"/>
      <c r="N8" s="75"/>
      <c r="O8" s="75"/>
      <c r="P8" s="75"/>
      <c r="R8" s="6" t="s">
        <v>138</v>
      </c>
    </row>
    <row r="9" spans="2:18" x14ac:dyDescent="0.3">
      <c r="B9" s="75"/>
      <c r="C9" s="75"/>
      <c r="D9" s="75"/>
      <c r="F9" s="75"/>
      <c r="G9" s="75"/>
      <c r="H9" s="75"/>
      <c r="J9" s="75"/>
      <c r="K9" s="75"/>
      <c r="L9" s="75"/>
      <c r="N9" s="75"/>
      <c r="O9" s="75"/>
      <c r="P9" s="75"/>
      <c r="R9" s="6" t="s">
        <v>139</v>
      </c>
    </row>
    <row r="10" spans="2:18" x14ac:dyDescent="0.3">
      <c r="B10" s="75"/>
      <c r="C10" s="75"/>
      <c r="D10" s="75"/>
      <c r="F10" s="75"/>
      <c r="G10" s="75"/>
      <c r="H10" s="75"/>
      <c r="J10" s="75"/>
      <c r="K10" s="75"/>
      <c r="L10" s="75"/>
      <c r="N10" s="75"/>
      <c r="O10" s="75"/>
      <c r="P10" s="75"/>
      <c r="R10" s="6" t="s">
        <v>140</v>
      </c>
    </row>
    <row r="11" spans="2:18" x14ac:dyDescent="0.3">
      <c r="B11" s="22"/>
      <c r="C11" s="75"/>
      <c r="D11" s="22"/>
      <c r="F11" s="77"/>
      <c r="G11" s="77"/>
      <c r="H11" s="77"/>
      <c r="J11" s="75"/>
      <c r="K11" s="75"/>
      <c r="L11" s="75"/>
      <c r="N11" s="75"/>
      <c r="O11" s="75"/>
      <c r="P11" s="75"/>
      <c r="R11" s="6" t="s">
        <v>141</v>
      </c>
    </row>
    <row r="12" spans="2:18" x14ac:dyDescent="0.3">
      <c r="B12" s="75"/>
      <c r="C12" s="75"/>
      <c r="D12" s="75"/>
      <c r="F12" s="72" t="s">
        <v>128</v>
      </c>
      <c r="G12" s="73"/>
      <c r="H12" s="74"/>
      <c r="J12" s="75"/>
      <c r="K12" s="75"/>
      <c r="L12" s="75"/>
      <c r="N12" s="75"/>
      <c r="O12" s="75"/>
      <c r="P12" s="75"/>
      <c r="R12" s="6" t="s">
        <v>142</v>
      </c>
    </row>
    <row r="13" spans="2:18" x14ac:dyDescent="0.3">
      <c r="B13" s="75"/>
      <c r="C13" s="75"/>
      <c r="D13" s="75"/>
      <c r="F13" s="75"/>
      <c r="G13" s="75"/>
      <c r="H13" s="75"/>
      <c r="J13" s="75"/>
      <c r="K13" s="75"/>
      <c r="L13" s="75"/>
      <c r="N13" s="75"/>
      <c r="O13" s="75"/>
      <c r="P13" s="75"/>
      <c r="R13" s="6" t="s">
        <v>143</v>
      </c>
    </row>
    <row r="14" spans="2:18" x14ac:dyDescent="0.3">
      <c r="B14" s="75"/>
      <c r="C14" s="75"/>
      <c r="D14" s="75"/>
      <c r="F14" s="75"/>
      <c r="G14" s="75"/>
      <c r="H14" s="75"/>
      <c r="J14" s="75"/>
      <c r="K14" s="75"/>
      <c r="L14" s="75"/>
      <c r="N14" s="75"/>
      <c r="O14" s="75"/>
      <c r="P14" s="75"/>
      <c r="R14" s="6" t="s">
        <v>144</v>
      </c>
    </row>
    <row r="15" spans="2:18" x14ac:dyDescent="0.3">
      <c r="B15" s="75"/>
      <c r="C15" s="75"/>
      <c r="D15" s="75"/>
      <c r="F15" s="75"/>
      <c r="G15" s="75"/>
      <c r="H15" s="75"/>
      <c r="J15" s="75"/>
      <c r="K15" s="75"/>
      <c r="L15" s="75"/>
      <c r="N15" s="75"/>
      <c r="O15" s="75"/>
      <c r="P15" s="75"/>
      <c r="R15" s="6" t="s">
        <v>145</v>
      </c>
    </row>
    <row r="16" spans="2:18" x14ac:dyDescent="0.3">
      <c r="B16" s="75"/>
      <c r="C16" s="75"/>
      <c r="D16" s="75"/>
      <c r="F16" s="75"/>
      <c r="G16" s="75"/>
      <c r="H16" s="75"/>
      <c r="J16" s="75"/>
      <c r="K16" s="75"/>
      <c r="L16" s="75"/>
      <c r="N16" s="75"/>
      <c r="O16" s="75"/>
      <c r="P16" s="75"/>
      <c r="R16" s="6" t="s">
        <v>146</v>
      </c>
    </row>
    <row r="17" spans="2:18" x14ac:dyDescent="0.3">
      <c r="B17" s="75"/>
      <c r="C17" s="75"/>
      <c r="D17" s="75"/>
      <c r="F17" s="75"/>
      <c r="G17" s="75"/>
      <c r="H17" s="75"/>
      <c r="J17" s="75"/>
      <c r="K17" s="75"/>
      <c r="L17" s="75"/>
      <c r="N17" s="75"/>
      <c r="O17" s="75"/>
      <c r="P17" s="75"/>
      <c r="R17" s="6" t="s">
        <v>147</v>
      </c>
    </row>
    <row r="18" spans="2:18" x14ac:dyDescent="0.3">
      <c r="B18" s="75"/>
      <c r="C18" s="75"/>
      <c r="D18" s="75"/>
      <c r="F18" s="75"/>
      <c r="G18" s="75"/>
      <c r="H18" s="75"/>
      <c r="J18" s="75"/>
      <c r="K18" s="75"/>
      <c r="L18" s="75"/>
      <c r="N18" s="75"/>
      <c r="O18" s="75"/>
      <c r="P18" s="75"/>
    </row>
    <row r="19" spans="2:18" x14ac:dyDescent="0.3">
      <c r="B19" s="75"/>
      <c r="C19" s="75"/>
      <c r="D19" s="75"/>
      <c r="F19" s="75" t="s">
        <v>46</v>
      </c>
      <c r="G19" s="75" t="s">
        <v>46</v>
      </c>
      <c r="H19" s="75" t="s">
        <v>46</v>
      </c>
      <c r="J19" s="75"/>
      <c r="K19" s="75"/>
      <c r="L19" s="75"/>
      <c r="N19" s="75"/>
      <c r="O19" s="75"/>
      <c r="P19" s="75"/>
    </row>
    <row r="20" spans="2:18" x14ac:dyDescent="0.3">
      <c r="B20" s="75"/>
      <c r="C20" s="75"/>
      <c r="D20" s="75"/>
      <c r="F20" s="75"/>
      <c r="G20" s="75"/>
      <c r="H20" s="75"/>
      <c r="J20" s="75"/>
      <c r="K20" s="75"/>
      <c r="L20" s="75"/>
      <c r="N20" s="75"/>
      <c r="O20" s="75"/>
      <c r="P20" s="75"/>
    </row>
    <row r="21" spans="2:18" x14ac:dyDescent="0.3">
      <c r="B21" s="75"/>
      <c r="C21" s="75"/>
      <c r="D21" s="75"/>
      <c r="F21" s="75"/>
      <c r="G21" s="75"/>
      <c r="H21" s="75"/>
      <c r="J21" s="75"/>
      <c r="K21" s="75"/>
      <c r="L21" s="75"/>
      <c r="N21" s="75"/>
      <c r="O21" s="75"/>
      <c r="P21" s="75"/>
    </row>
    <row r="22" spans="2:18" x14ac:dyDescent="0.3">
      <c r="B22" s="75"/>
      <c r="C22" s="75"/>
      <c r="D22" s="75"/>
      <c r="F22" s="75"/>
      <c r="G22" s="75"/>
      <c r="H22" s="75"/>
      <c r="J22" s="75"/>
      <c r="K22" s="71" t="s">
        <v>129</v>
      </c>
      <c r="L22" s="71">
        <f>SUM(L4:L21)</f>
        <v>0</v>
      </c>
      <c r="N22" s="75"/>
      <c r="O22" s="71" t="s">
        <v>130</v>
      </c>
      <c r="P22" s="71">
        <f>SUM(P4:P21)</f>
        <v>0</v>
      </c>
    </row>
    <row r="23" spans="2:18" x14ac:dyDescent="0.3">
      <c r="B23" s="75"/>
      <c r="C23" s="75"/>
      <c r="D23" s="75"/>
      <c r="F23" s="75"/>
      <c r="G23" s="75"/>
      <c r="H23" s="75"/>
      <c r="J23" s="78" t="s">
        <v>46</v>
      </c>
      <c r="K23" s="79"/>
      <c r="L23" s="80"/>
      <c r="N23" s="78" t="s">
        <v>46</v>
      </c>
      <c r="O23" s="79"/>
      <c r="P23" s="80"/>
    </row>
    <row r="24" spans="2:18" x14ac:dyDescent="0.3">
      <c r="B24" s="75"/>
      <c r="C24" s="75"/>
      <c r="D24" s="75"/>
      <c r="F24" s="75"/>
      <c r="G24" s="75"/>
      <c r="H24" s="75"/>
      <c r="J24" s="75" t="s">
        <v>46</v>
      </c>
      <c r="K24" s="81" t="s">
        <v>125</v>
      </c>
      <c r="L24" s="76">
        <f>P22-L22</f>
        <v>0</v>
      </c>
      <c r="N24" s="75"/>
      <c r="O24" s="75"/>
      <c r="P24" s="75"/>
    </row>
    <row r="25" spans="2:18" x14ac:dyDescent="0.3">
      <c r="B25" s="75" t="s">
        <v>46</v>
      </c>
      <c r="C25" s="75" t="s">
        <v>46</v>
      </c>
      <c r="D25" s="75" t="s">
        <v>46</v>
      </c>
      <c r="F25" s="75"/>
      <c r="G25" s="75"/>
      <c r="H25" s="75"/>
      <c r="J25" s="75"/>
      <c r="K25" s="75"/>
      <c r="L25" s="75"/>
      <c r="N25" s="75"/>
      <c r="O25" s="75"/>
      <c r="P25" s="75"/>
    </row>
    <row r="26" spans="2:18" x14ac:dyDescent="0.3">
      <c r="B26" s="82" t="s">
        <v>131</v>
      </c>
      <c r="C26" s="83"/>
      <c r="D26" s="84">
        <f>SUM(D5:D25)</f>
        <v>0</v>
      </c>
      <c r="E26" s="85"/>
      <c r="F26" s="82" t="s">
        <v>131</v>
      </c>
      <c r="G26" s="83"/>
      <c r="H26" s="84">
        <f>SUM(H5:H25)</f>
        <v>0</v>
      </c>
      <c r="J26" s="75"/>
      <c r="K26" s="75"/>
      <c r="L26" s="75"/>
      <c r="N26" s="75"/>
      <c r="O26" s="75"/>
      <c r="P26" s="75"/>
    </row>
  </sheetData>
  <mergeCells count="13">
    <mergeCell ref="B8:D8"/>
    <mergeCell ref="F8:H8"/>
    <mergeCell ref="F12:H12"/>
    <mergeCell ref="J23:L23"/>
    <mergeCell ref="N23:P23"/>
    <mergeCell ref="B26:C26"/>
    <mergeCell ref="F26:G26"/>
    <mergeCell ref="B2:D2"/>
    <mergeCell ref="F2:H2"/>
    <mergeCell ref="J2:L2"/>
    <mergeCell ref="N2:P2"/>
    <mergeCell ref="B4:D4"/>
    <mergeCell ref="F4:H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BFBF2-2ABB-49FF-A425-36717F72A837}">
  <dimension ref="B1:R27"/>
  <sheetViews>
    <sheetView workbookViewId="0">
      <selection activeCell="R1" sqref="R1:R18"/>
    </sheetView>
  </sheetViews>
  <sheetFormatPr defaultRowHeight="14.4" x14ac:dyDescent="0.3"/>
  <cols>
    <col min="1" max="1" width="2" customWidth="1"/>
    <col min="2" max="2" width="3.21875" customWidth="1"/>
    <col min="3" max="3" width="29.109375" customWidth="1"/>
    <col min="4" max="4" width="8.77734375" customWidth="1"/>
    <col min="5" max="5" width="1.5546875" customWidth="1"/>
    <col min="6" max="6" width="3.44140625" customWidth="1"/>
    <col min="7" max="7" width="26.44140625" customWidth="1"/>
    <col min="8" max="8" width="9.109375" customWidth="1"/>
    <col min="9" max="9" width="1.5546875" customWidth="1"/>
    <col min="10" max="10" width="3.77734375" customWidth="1"/>
    <col min="11" max="11" width="19.44140625" customWidth="1"/>
    <col min="12" max="12" width="8.109375" customWidth="1"/>
    <col min="13" max="13" width="1.5546875" customWidth="1"/>
    <col min="14" max="14" width="3.44140625" customWidth="1"/>
    <col min="15" max="15" width="17.88671875" customWidth="1"/>
    <col min="16" max="16" width="8.21875" customWidth="1"/>
  </cols>
  <sheetData>
    <row r="1" spans="2:18" ht="15.6" x14ac:dyDescent="0.3">
      <c r="C1" s="67" t="s">
        <v>148</v>
      </c>
      <c r="D1" s="68"/>
      <c r="E1" s="68"/>
      <c r="F1" s="68"/>
      <c r="G1" s="68"/>
      <c r="R1" s="87" t="s">
        <v>153</v>
      </c>
    </row>
    <row r="2" spans="2:18" ht="15" thickBot="1" x14ac:dyDescent="0.35">
      <c r="B2" s="69" t="s">
        <v>117</v>
      </c>
      <c r="C2" s="69"/>
      <c r="D2" s="69"/>
      <c r="F2" s="70" t="s">
        <v>118</v>
      </c>
      <c r="G2" s="70"/>
      <c r="H2" s="70"/>
      <c r="J2" s="70" t="s">
        <v>119</v>
      </c>
      <c r="K2" s="70"/>
      <c r="L2" s="70"/>
      <c r="N2" s="70" t="s">
        <v>12</v>
      </c>
      <c r="O2" s="70"/>
      <c r="P2" s="70"/>
      <c r="R2" s="18"/>
    </row>
    <row r="3" spans="2:18" x14ac:dyDescent="0.3">
      <c r="B3" s="71" t="s">
        <v>120</v>
      </c>
      <c r="C3" s="71" t="s">
        <v>121</v>
      </c>
      <c r="D3" s="71" t="s">
        <v>122</v>
      </c>
      <c r="F3" s="71" t="s">
        <v>120</v>
      </c>
      <c r="G3" s="71" t="s">
        <v>121</v>
      </c>
      <c r="H3" s="71" t="s">
        <v>122</v>
      </c>
      <c r="J3" s="71" t="s">
        <v>120</v>
      </c>
      <c r="K3" s="71" t="s">
        <v>121</v>
      </c>
      <c r="L3" s="71" t="s">
        <v>122</v>
      </c>
      <c r="N3" s="71" t="s">
        <v>120</v>
      </c>
      <c r="O3" s="71" t="s">
        <v>121</v>
      </c>
      <c r="P3" s="71" t="s">
        <v>122</v>
      </c>
      <c r="R3" s="6" t="s">
        <v>154</v>
      </c>
    </row>
    <row r="4" spans="2:18" x14ac:dyDescent="0.3">
      <c r="B4" s="72" t="s">
        <v>123</v>
      </c>
      <c r="C4" s="73"/>
      <c r="D4" s="74"/>
      <c r="F4" s="72" t="s">
        <v>124</v>
      </c>
      <c r="G4" s="73"/>
      <c r="H4" s="74"/>
      <c r="J4" s="75"/>
      <c r="K4" s="75"/>
      <c r="L4" s="75"/>
      <c r="N4" s="75"/>
      <c r="O4" s="75"/>
      <c r="P4" s="75"/>
      <c r="R4" s="6" t="s">
        <v>155</v>
      </c>
    </row>
    <row r="5" spans="2:18" x14ac:dyDescent="0.3">
      <c r="B5" s="75"/>
      <c r="C5" s="75"/>
      <c r="D5" s="75"/>
      <c r="F5" s="75"/>
      <c r="G5" s="75"/>
      <c r="H5" s="75"/>
      <c r="J5" s="75"/>
      <c r="K5" s="75"/>
      <c r="L5" s="75"/>
      <c r="N5" s="75"/>
      <c r="O5" s="75"/>
      <c r="P5" s="75"/>
      <c r="R5" s="6" t="s">
        <v>156</v>
      </c>
    </row>
    <row r="6" spans="2:18" x14ac:dyDescent="0.3">
      <c r="B6" s="75"/>
      <c r="C6" s="75"/>
      <c r="D6" s="75"/>
      <c r="F6" s="75"/>
      <c r="G6" s="71" t="s">
        <v>125</v>
      </c>
      <c r="H6" s="76">
        <v>0</v>
      </c>
      <c r="J6" s="75"/>
      <c r="K6" s="75"/>
      <c r="L6" s="75"/>
      <c r="N6" s="75"/>
      <c r="O6" s="75"/>
      <c r="P6" s="75"/>
      <c r="R6" s="6" t="s">
        <v>157</v>
      </c>
    </row>
    <row r="7" spans="2:18" x14ac:dyDescent="0.3">
      <c r="B7" s="75"/>
      <c r="C7" s="71" t="s">
        <v>149</v>
      </c>
      <c r="D7" s="71">
        <f>SUM(D5:D6)</f>
        <v>0</v>
      </c>
      <c r="F7" s="75"/>
      <c r="G7" s="71"/>
      <c r="H7" s="76"/>
      <c r="J7" s="75"/>
      <c r="K7" s="75"/>
      <c r="L7" s="75"/>
      <c r="N7" s="75"/>
      <c r="O7" s="75"/>
      <c r="P7" s="75"/>
      <c r="R7" s="6" t="s">
        <v>158</v>
      </c>
    </row>
    <row r="8" spans="2:18" x14ac:dyDescent="0.3">
      <c r="B8" s="72" t="s">
        <v>126</v>
      </c>
      <c r="C8" s="73"/>
      <c r="D8" s="74"/>
      <c r="F8" s="75"/>
      <c r="G8" s="71" t="s">
        <v>150</v>
      </c>
      <c r="H8" s="71">
        <f>SUM(H5:H7)</f>
        <v>0</v>
      </c>
      <c r="J8" s="75"/>
      <c r="K8" s="75"/>
      <c r="L8" s="75"/>
      <c r="N8" s="75"/>
      <c r="O8" s="75"/>
      <c r="P8" s="75"/>
      <c r="R8" s="6" t="s">
        <v>159</v>
      </c>
    </row>
    <row r="9" spans="2:18" x14ac:dyDescent="0.3">
      <c r="B9" s="75"/>
      <c r="C9" s="75"/>
      <c r="D9" s="75"/>
      <c r="F9" s="72" t="s">
        <v>127</v>
      </c>
      <c r="G9" s="73"/>
      <c r="H9" s="74"/>
      <c r="J9" s="75"/>
      <c r="K9" s="75"/>
      <c r="L9" s="75"/>
      <c r="N9" s="75"/>
      <c r="O9" s="75"/>
      <c r="P9" s="75"/>
      <c r="R9" s="6" t="s">
        <v>160</v>
      </c>
    </row>
    <row r="10" spans="2:18" x14ac:dyDescent="0.3">
      <c r="B10" s="75"/>
      <c r="C10" s="75"/>
      <c r="D10" s="75"/>
      <c r="F10" s="75"/>
      <c r="G10" s="75"/>
      <c r="H10" s="75"/>
      <c r="J10" s="75"/>
      <c r="K10" s="75"/>
      <c r="L10" s="75"/>
      <c r="N10" s="75"/>
      <c r="O10" s="75"/>
      <c r="P10" s="75"/>
      <c r="R10" s="6" t="s">
        <v>161</v>
      </c>
    </row>
    <row r="11" spans="2:18" x14ac:dyDescent="0.3">
      <c r="B11" s="22"/>
      <c r="C11" s="75"/>
      <c r="D11" s="22"/>
      <c r="F11" s="75"/>
      <c r="G11" s="75"/>
      <c r="H11" s="75"/>
      <c r="J11" s="75"/>
      <c r="K11" s="75"/>
      <c r="L11" s="75"/>
      <c r="N11" s="75"/>
      <c r="O11" s="75"/>
      <c r="P11" s="75"/>
      <c r="R11" s="6" t="s">
        <v>162</v>
      </c>
    </row>
    <row r="12" spans="2:18" x14ac:dyDescent="0.3">
      <c r="B12" s="75"/>
      <c r="C12" s="75"/>
      <c r="D12" s="75"/>
      <c r="F12" s="77"/>
      <c r="G12" s="86" t="s">
        <v>151</v>
      </c>
      <c r="H12" s="81">
        <f>SUM(H10:H11)</f>
        <v>0</v>
      </c>
      <c r="J12" s="75"/>
      <c r="K12" s="75"/>
      <c r="L12" s="75"/>
      <c r="N12" s="75"/>
      <c r="O12" s="75"/>
      <c r="P12" s="75"/>
      <c r="R12" s="6" t="s">
        <v>163</v>
      </c>
    </row>
    <row r="13" spans="2:18" x14ac:dyDescent="0.3">
      <c r="B13" s="75"/>
      <c r="C13" s="75"/>
      <c r="D13" s="75"/>
      <c r="F13" s="72" t="s">
        <v>128</v>
      </c>
      <c r="G13" s="73"/>
      <c r="H13" s="74"/>
      <c r="J13" s="75"/>
      <c r="K13" s="75"/>
      <c r="L13" s="75"/>
      <c r="N13" s="75"/>
      <c r="O13" s="75"/>
      <c r="P13" s="75"/>
      <c r="R13" s="6" t="s">
        <v>164</v>
      </c>
    </row>
    <row r="14" spans="2:18" x14ac:dyDescent="0.3">
      <c r="B14" s="75"/>
      <c r="C14" s="75"/>
      <c r="D14" s="75"/>
      <c r="F14" s="75"/>
      <c r="G14" s="75"/>
      <c r="H14" s="75"/>
      <c r="J14" s="75"/>
      <c r="K14" s="75"/>
      <c r="L14" s="75"/>
      <c r="N14" s="75"/>
      <c r="O14" s="75"/>
      <c r="P14" s="75"/>
      <c r="R14" s="6" t="s">
        <v>165</v>
      </c>
    </row>
    <row r="15" spans="2:18" x14ac:dyDescent="0.3">
      <c r="B15" s="75"/>
      <c r="C15" s="75"/>
      <c r="D15" s="75"/>
      <c r="F15" s="75"/>
      <c r="G15" s="75"/>
      <c r="H15" s="75"/>
      <c r="J15" s="75"/>
      <c r="K15" s="75"/>
      <c r="L15" s="75"/>
      <c r="N15" s="75"/>
      <c r="O15" s="75"/>
      <c r="P15" s="75"/>
      <c r="R15" s="6" t="s">
        <v>166</v>
      </c>
    </row>
    <row r="16" spans="2:18" x14ac:dyDescent="0.3">
      <c r="B16" s="75"/>
      <c r="C16" s="75"/>
      <c r="D16" s="75"/>
      <c r="F16" s="75"/>
      <c r="G16" s="75"/>
      <c r="H16" s="75"/>
      <c r="J16" s="75"/>
      <c r="K16" s="75"/>
      <c r="L16" s="75"/>
      <c r="N16" s="75"/>
      <c r="O16" s="75"/>
      <c r="P16" s="75"/>
      <c r="R16" s="6" t="s">
        <v>167</v>
      </c>
    </row>
    <row r="17" spans="2:18" x14ac:dyDescent="0.3">
      <c r="B17" s="75"/>
      <c r="C17" s="75"/>
      <c r="D17" s="75"/>
      <c r="F17" s="75"/>
      <c r="G17" s="75"/>
      <c r="H17" s="75"/>
      <c r="J17" s="75"/>
      <c r="K17" s="75"/>
      <c r="L17" s="75"/>
      <c r="N17" s="75"/>
      <c r="O17" s="75"/>
      <c r="P17" s="75"/>
      <c r="R17" s="6" t="s">
        <v>168</v>
      </c>
    </row>
    <row r="18" spans="2:18" x14ac:dyDescent="0.3">
      <c r="B18" s="75"/>
      <c r="C18" s="75"/>
      <c r="D18" s="75"/>
      <c r="F18" s="75"/>
      <c r="G18" s="75"/>
      <c r="H18" s="75"/>
      <c r="J18" s="75"/>
      <c r="K18" s="75"/>
      <c r="L18" s="75"/>
      <c r="N18" s="75"/>
      <c r="O18" s="75"/>
      <c r="P18" s="75"/>
      <c r="R18" s="6" t="s">
        <v>169</v>
      </c>
    </row>
    <row r="19" spans="2:18" x14ac:dyDescent="0.3">
      <c r="B19" s="75"/>
      <c r="C19" s="75"/>
      <c r="D19" s="75"/>
      <c r="F19" s="75"/>
      <c r="G19" s="75"/>
      <c r="H19" s="75"/>
      <c r="J19" s="75"/>
      <c r="K19" s="75"/>
      <c r="L19" s="75"/>
      <c r="N19" s="75"/>
      <c r="O19" s="75"/>
      <c r="P19" s="75"/>
    </row>
    <row r="20" spans="2:18" x14ac:dyDescent="0.3">
      <c r="B20" s="75"/>
      <c r="C20" s="75"/>
      <c r="D20" s="75"/>
      <c r="F20" s="75"/>
      <c r="G20" s="75"/>
      <c r="H20" s="75"/>
      <c r="J20" s="75"/>
      <c r="K20" s="75"/>
      <c r="L20" s="75"/>
      <c r="N20" s="75"/>
      <c r="O20" s="75"/>
      <c r="P20" s="75"/>
    </row>
    <row r="21" spans="2:18" x14ac:dyDescent="0.3">
      <c r="B21" s="75"/>
      <c r="C21" s="75"/>
      <c r="D21" s="75"/>
      <c r="F21" s="75"/>
      <c r="G21" s="75"/>
      <c r="H21" s="75"/>
      <c r="J21" s="75"/>
      <c r="K21" s="75"/>
      <c r="L21" s="75"/>
      <c r="N21" s="75"/>
      <c r="O21" s="75"/>
      <c r="P21" s="75"/>
    </row>
    <row r="22" spans="2:18" x14ac:dyDescent="0.3">
      <c r="B22" s="75"/>
      <c r="C22" s="75"/>
      <c r="D22" s="75"/>
      <c r="F22" s="75"/>
      <c r="G22" s="75"/>
      <c r="H22" s="75"/>
      <c r="J22" s="75"/>
      <c r="K22" s="75"/>
      <c r="L22" s="75"/>
      <c r="N22" s="75"/>
      <c r="O22" s="75"/>
      <c r="P22" s="75"/>
    </row>
    <row r="23" spans="2:18" x14ac:dyDescent="0.3">
      <c r="B23" s="75"/>
      <c r="C23" s="75"/>
      <c r="D23" s="75"/>
      <c r="F23" s="75"/>
      <c r="G23" s="75"/>
      <c r="H23" s="75"/>
      <c r="J23" s="75"/>
      <c r="K23" s="71" t="s">
        <v>129</v>
      </c>
      <c r="L23" s="71">
        <f>SUM(L4:L22)</f>
        <v>0</v>
      </c>
      <c r="M23" s="85"/>
      <c r="N23" s="71"/>
      <c r="O23" s="71" t="s">
        <v>130</v>
      </c>
      <c r="P23" s="71">
        <f>SUM(P4:P22)</f>
        <v>0</v>
      </c>
    </row>
    <row r="24" spans="2:18" x14ac:dyDescent="0.3">
      <c r="B24" s="75"/>
      <c r="C24" s="75"/>
      <c r="D24" s="75"/>
      <c r="F24" s="75"/>
      <c r="G24" s="75"/>
      <c r="H24" s="75"/>
      <c r="J24" s="78" t="s">
        <v>46</v>
      </c>
      <c r="K24" s="79"/>
      <c r="L24" s="80"/>
      <c r="N24" s="78" t="s">
        <v>46</v>
      </c>
      <c r="O24" s="79"/>
      <c r="P24" s="80"/>
    </row>
    <row r="25" spans="2:18" x14ac:dyDescent="0.3">
      <c r="B25" s="75"/>
      <c r="C25" s="75"/>
      <c r="D25" s="75"/>
      <c r="F25" s="75"/>
      <c r="G25" s="75"/>
      <c r="H25" s="75"/>
      <c r="J25" s="75"/>
      <c r="K25" s="81" t="s">
        <v>125</v>
      </c>
      <c r="L25" s="76">
        <f>P23-L23</f>
        <v>0</v>
      </c>
      <c r="N25" s="75"/>
      <c r="O25" s="75"/>
      <c r="P25" s="75"/>
    </row>
    <row r="26" spans="2:18" x14ac:dyDescent="0.3">
      <c r="B26" s="75" t="s">
        <v>46</v>
      </c>
      <c r="C26" s="71" t="s">
        <v>152</v>
      </c>
      <c r="D26" s="71">
        <f>SUM(D9:D25)</f>
        <v>0</v>
      </c>
      <c r="F26" s="75"/>
      <c r="G26" s="86" t="s">
        <v>151</v>
      </c>
      <c r="H26" s="81">
        <f>SUM(H14:H25)</f>
        <v>0</v>
      </c>
      <c r="J26" s="75"/>
      <c r="K26" s="75"/>
      <c r="L26" s="75"/>
      <c r="N26" s="75"/>
      <c r="O26" s="75"/>
      <c r="P26" s="75"/>
    </row>
    <row r="27" spans="2:18" x14ac:dyDescent="0.3">
      <c r="B27" s="82" t="s">
        <v>131</v>
      </c>
      <c r="C27" s="83"/>
      <c r="D27" s="84">
        <f>D7+D26</f>
        <v>0</v>
      </c>
      <c r="E27" s="85"/>
      <c r="F27" s="82" t="s">
        <v>131</v>
      </c>
      <c r="G27" s="83"/>
      <c r="H27" s="84">
        <f>H8+H12+H26</f>
        <v>0</v>
      </c>
      <c r="J27" s="75"/>
      <c r="K27" s="75"/>
      <c r="L27" s="75"/>
      <c r="N27" s="75"/>
      <c r="O27" s="75"/>
      <c r="P27" s="75"/>
    </row>
  </sheetData>
  <mergeCells count="13">
    <mergeCell ref="B8:D8"/>
    <mergeCell ref="F9:H9"/>
    <mergeCell ref="F13:H13"/>
    <mergeCell ref="J24:L24"/>
    <mergeCell ref="N24:P24"/>
    <mergeCell ref="B27:C27"/>
    <mergeCell ref="F27:G27"/>
    <mergeCell ref="B2:D2"/>
    <mergeCell ref="F2:H2"/>
    <mergeCell ref="J2:L2"/>
    <mergeCell ref="N2:P2"/>
    <mergeCell ref="B4:D4"/>
    <mergeCell ref="F4:H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8E7E4-1425-45A4-8BA8-48709A06C25B}">
  <dimension ref="B1:R27"/>
  <sheetViews>
    <sheetView topLeftCell="H1" workbookViewId="0">
      <selection activeCell="P11" sqref="P11"/>
    </sheetView>
  </sheetViews>
  <sheetFormatPr defaultRowHeight="14.4" x14ac:dyDescent="0.3"/>
  <cols>
    <col min="1" max="1" width="2" style="89" customWidth="1"/>
    <col min="2" max="2" width="3.21875" style="89" customWidth="1"/>
    <col min="3" max="3" width="29.109375" style="89" customWidth="1"/>
    <col min="4" max="4" width="8.77734375" style="89" customWidth="1"/>
    <col min="5" max="5" width="1.5546875" style="89" customWidth="1"/>
    <col min="6" max="6" width="3.44140625" style="89" customWidth="1"/>
    <col min="7" max="7" width="26.44140625" style="89" customWidth="1"/>
    <col min="8" max="8" width="9.109375" style="89" customWidth="1"/>
    <col min="9" max="9" width="1.5546875" style="89" customWidth="1"/>
    <col min="10" max="10" width="3.77734375" style="89" customWidth="1"/>
    <col min="11" max="11" width="19.44140625" style="89" customWidth="1"/>
    <col min="12" max="12" width="8.109375" style="89" customWidth="1"/>
    <col min="13" max="13" width="1.5546875" style="89" customWidth="1"/>
    <col min="14" max="14" width="3.44140625" style="89" customWidth="1"/>
    <col min="15" max="15" width="17.88671875" style="89" customWidth="1"/>
    <col min="16" max="16" width="8.21875" style="89" customWidth="1"/>
    <col min="17" max="16384" width="8.88671875" style="89"/>
  </cols>
  <sheetData>
    <row r="1" spans="2:18" ht="15.6" x14ac:dyDescent="0.3">
      <c r="C1" s="96" t="s">
        <v>170</v>
      </c>
      <c r="D1" s="97"/>
      <c r="E1" s="97"/>
      <c r="F1" s="97"/>
      <c r="G1" s="97"/>
      <c r="R1" s="102" t="s">
        <v>171</v>
      </c>
    </row>
    <row r="2" spans="2:18" ht="15" thickBot="1" x14ac:dyDescent="0.35">
      <c r="B2" s="69" t="s">
        <v>117</v>
      </c>
      <c r="C2" s="69"/>
      <c r="D2" s="69"/>
      <c r="F2" s="70" t="s">
        <v>118</v>
      </c>
      <c r="G2" s="70"/>
      <c r="H2" s="70"/>
      <c r="J2" s="70" t="s">
        <v>119</v>
      </c>
      <c r="K2" s="70"/>
      <c r="L2" s="70"/>
      <c r="N2" s="70" t="s">
        <v>12</v>
      </c>
      <c r="O2" s="70"/>
      <c r="P2" s="70"/>
      <c r="R2" s="103"/>
    </row>
    <row r="3" spans="2:18" x14ac:dyDescent="0.3">
      <c r="B3" s="92" t="s">
        <v>120</v>
      </c>
      <c r="C3" s="92" t="s">
        <v>121</v>
      </c>
      <c r="D3" s="92" t="s">
        <v>122</v>
      </c>
      <c r="F3" s="92" t="s">
        <v>120</v>
      </c>
      <c r="G3" s="92" t="s">
        <v>121</v>
      </c>
      <c r="H3" s="92" t="s">
        <v>122</v>
      </c>
      <c r="J3" s="92" t="s">
        <v>120</v>
      </c>
      <c r="K3" s="92" t="s">
        <v>121</v>
      </c>
      <c r="L3" s="92" t="s">
        <v>122</v>
      </c>
      <c r="N3" s="92" t="s">
        <v>120</v>
      </c>
      <c r="O3" s="92" t="s">
        <v>121</v>
      </c>
      <c r="P3" s="92" t="s">
        <v>122</v>
      </c>
      <c r="R3" s="101" t="s">
        <v>154</v>
      </c>
    </row>
    <row r="4" spans="2:18" x14ac:dyDescent="0.3">
      <c r="B4" s="72" t="s">
        <v>123</v>
      </c>
      <c r="C4" s="73"/>
      <c r="D4" s="74"/>
      <c r="F4" s="72" t="s">
        <v>124</v>
      </c>
      <c r="G4" s="73"/>
      <c r="H4" s="74"/>
      <c r="J4" s="90"/>
      <c r="K4" s="90"/>
      <c r="L4" s="90"/>
      <c r="N4" s="90"/>
      <c r="O4" s="90"/>
      <c r="P4" s="90"/>
      <c r="R4" s="101" t="s">
        <v>172</v>
      </c>
    </row>
    <row r="5" spans="2:18" x14ac:dyDescent="0.3">
      <c r="B5" s="90"/>
      <c r="C5" s="90"/>
      <c r="D5" s="90"/>
      <c r="F5" s="90"/>
      <c r="G5" s="90"/>
      <c r="H5" s="90"/>
      <c r="J5" s="90"/>
      <c r="K5" s="90"/>
      <c r="L5" s="90"/>
      <c r="N5" s="90"/>
      <c r="O5" s="90"/>
      <c r="P5" s="90"/>
      <c r="R5" s="101" t="s">
        <v>173</v>
      </c>
    </row>
    <row r="6" spans="2:18" x14ac:dyDescent="0.3">
      <c r="B6" s="90"/>
      <c r="C6" s="90"/>
      <c r="D6" s="90"/>
      <c r="F6" s="90">
        <v>16</v>
      </c>
      <c r="G6" s="92" t="s">
        <v>125</v>
      </c>
      <c r="H6" s="94">
        <v>0</v>
      </c>
      <c r="J6" s="90"/>
      <c r="K6" s="90"/>
      <c r="L6" s="90"/>
      <c r="N6" s="90"/>
      <c r="O6" s="90"/>
      <c r="P6" s="90"/>
      <c r="R6" s="101" t="s">
        <v>174</v>
      </c>
    </row>
    <row r="7" spans="2:18" x14ac:dyDescent="0.3">
      <c r="B7" s="90"/>
      <c r="C7" s="92" t="s">
        <v>149</v>
      </c>
      <c r="D7" s="92">
        <v>0</v>
      </c>
      <c r="F7" s="90"/>
      <c r="G7" s="92"/>
      <c r="H7" s="94"/>
      <c r="J7" s="90"/>
      <c r="K7" s="90"/>
      <c r="L7" s="90"/>
      <c r="N7" s="90"/>
      <c r="O7" s="90"/>
      <c r="P7" s="90"/>
      <c r="R7" s="101" t="s">
        <v>175</v>
      </c>
    </row>
    <row r="8" spans="2:18" x14ac:dyDescent="0.3">
      <c r="B8" s="72" t="s">
        <v>126</v>
      </c>
      <c r="C8" s="73"/>
      <c r="D8" s="74"/>
      <c r="F8" s="90"/>
      <c r="G8" s="92" t="s">
        <v>150</v>
      </c>
      <c r="H8" s="92">
        <v>0</v>
      </c>
      <c r="J8" s="95"/>
      <c r="K8" s="95"/>
      <c r="L8" s="95"/>
      <c r="N8" s="90"/>
      <c r="O8" s="90"/>
      <c r="P8" s="90"/>
      <c r="R8" s="101" t="s">
        <v>176</v>
      </c>
    </row>
    <row r="9" spans="2:18" x14ac:dyDescent="0.3">
      <c r="B9" s="90"/>
      <c r="C9" s="90"/>
      <c r="D9" s="90"/>
      <c r="F9" s="72" t="s">
        <v>127</v>
      </c>
      <c r="G9" s="73"/>
      <c r="H9" s="74"/>
      <c r="J9" s="90"/>
      <c r="K9" s="90"/>
      <c r="L9" s="90"/>
      <c r="N9" s="90"/>
      <c r="O9" s="90"/>
      <c r="P9" s="90"/>
      <c r="R9" s="101" t="s">
        <v>177</v>
      </c>
    </row>
    <row r="10" spans="2:18" x14ac:dyDescent="0.3">
      <c r="B10" s="90"/>
      <c r="C10" s="90"/>
      <c r="D10" s="90"/>
      <c r="F10" s="90"/>
      <c r="G10" s="90"/>
      <c r="H10" s="90"/>
      <c r="J10" s="90"/>
      <c r="K10" s="90"/>
      <c r="L10" s="90"/>
      <c r="N10" s="90"/>
      <c r="O10" s="90"/>
      <c r="P10" s="90"/>
      <c r="R10" s="101" t="s">
        <v>178</v>
      </c>
    </row>
    <row r="11" spans="2:18" x14ac:dyDescent="0.3">
      <c r="B11" s="95"/>
      <c r="C11" s="90"/>
      <c r="D11" s="95"/>
      <c r="F11" s="90"/>
      <c r="G11" s="90"/>
      <c r="H11" s="90"/>
      <c r="J11" s="90"/>
      <c r="K11" s="90"/>
      <c r="L11" s="90"/>
      <c r="N11" s="90"/>
      <c r="O11" s="90"/>
      <c r="P11" s="90"/>
      <c r="R11" s="101" t="s">
        <v>179</v>
      </c>
    </row>
    <row r="12" spans="2:18" x14ac:dyDescent="0.3">
      <c r="B12" s="90"/>
      <c r="C12" s="90"/>
      <c r="D12" s="90"/>
      <c r="F12" s="91"/>
      <c r="G12" s="98" t="s">
        <v>151</v>
      </c>
      <c r="H12" s="98">
        <v>0</v>
      </c>
      <c r="J12" s="90"/>
      <c r="K12" s="90"/>
      <c r="L12" s="90"/>
      <c r="N12" s="90"/>
      <c r="O12" s="90"/>
      <c r="P12" s="90"/>
      <c r="R12" s="101" t="s">
        <v>180</v>
      </c>
    </row>
    <row r="13" spans="2:18" x14ac:dyDescent="0.3">
      <c r="B13" s="90"/>
      <c r="C13" s="90"/>
      <c r="D13" s="90"/>
      <c r="F13" s="72" t="s">
        <v>128</v>
      </c>
      <c r="G13" s="73"/>
      <c r="H13" s="74"/>
      <c r="J13" s="90"/>
      <c r="K13" s="90"/>
      <c r="L13" s="90"/>
      <c r="N13" s="90"/>
      <c r="O13" s="90"/>
      <c r="P13" s="90"/>
      <c r="R13" s="101" t="s">
        <v>181</v>
      </c>
    </row>
    <row r="14" spans="2:18" x14ac:dyDescent="0.3">
      <c r="B14" s="90"/>
      <c r="C14" s="90"/>
      <c r="D14" s="90"/>
      <c r="F14" s="90"/>
      <c r="G14" s="90"/>
      <c r="H14" s="90"/>
      <c r="J14" s="90"/>
      <c r="K14" s="90"/>
      <c r="L14" s="90"/>
      <c r="N14" s="90"/>
      <c r="O14" s="90"/>
      <c r="P14" s="90"/>
      <c r="R14" s="101" t="s">
        <v>165</v>
      </c>
    </row>
    <row r="15" spans="2:18" x14ac:dyDescent="0.3">
      <c r="B15" s="90"/>
      <c r="C15" s="90"/>
      <c r="D15" s="90"/>
      <c r="F15" s="90"/>
      <c r="G15" s="90"/>
      <c r="H15" s="90"/>
      <c r="J15" s="90"/>
      <c r="K15" s="90"/>
      <c r="L15" s="90"/>
      <c r="N15" s="90"/>
      <c r="O15" s="90"/>
      <c r="P15" s="90"/>
      <c r="R15" s="101" t="s">
        <v>182</v>
      </c>
    </row>
    <row r="16" spans="2:18" x14ac:dyDescent="0.3">
      <c r="B16" s="90"/>
      <c r="C16" s="90"/>
      <c r="D16" s="90"/>
      <c r="F16" s="90"/>
      <c r="G16" s="90"/>
      <c r="H16" s="90"/>
      <c r="J16" s="90"/>
      <c r="K16" s="90"/>
      <c r="L16" s="90"/>
      <c r="N16" s="90"/>
      <c r="O16" s="90"/>
      <c r="P16" s="90"/>
      <c r="R16" s="101" t="s">
        <v>183</v>
      </c>
    </row>
    <row r="17" spans="2:18" x14ac:dyDescent="0.3">
      <c r="B17" s="90"/>
      <c r="C17" s="90"/>
      <c r="D17" s="90"/>
      <c r="F17" s="95"/>
      <c r="G17" s="95"/>
      <c r="H17" s="95"/>
      <c r="J17" s="90"/>
      <c r="K17" s="90"/>
      <c r="L17" s="90"/>
      <c r="N17" s="90"/>
      <c r="O17" s="90"/>
      <c r="P17" s="90"/>
      <c r="R17" s="101" t="s">
        <v>184</v>
      </c>
    </row>
    <row r="18" spans="2:18" x14ac:dyDescent="0.3">
      <c r="B18" s="90"/>
      <c r="C18" s="90"/>
      <c r="D18" s="90"/>
      <c r="F18" s="90"/>
      <c r="G18" s="90"/>
      <c r="H18" s="90"/>
      <c r="J18" s="90"/>
      <c r="K18" s="90"/>
      <c r="L18" s="90"/>
      <c r="N18" s="90"/>
      <c r="O18" s="90"/>
      <c r="P18" s="90"/>
      <c r="R18" s="101" t="s">
        <v>169</v>
      </c>
    </row>
    <row r="19" spans="2:18" x14ac:dyDescent="0.3">
      <c r="B19" s="90"/>
      <c r="C19" s="90"/>
      <c r="D19" s="90"/>
      <c r="F19" s="90"/>
      <c r="G19" s="90"/>
      <c r="H19" s="90"/>
      <c r="J19" s="90"/>
      <c r="K19" s="90"/>
      <c r="L19" s="90"/>
      <c r="N19" s="90"/>
      <c r="O19" s="90"/>
      <c r="P19" s="90"/>
    </row>
    <row r="20" spans="2:18" x14ac:dyDescent="0.3">
      <c r="B20" s="90"/>
      <c r="C20" s="90"/>
      <c r="D20" s="90"/>
      <c r="F20" s="90"/>
      <c r="G20" s="90"/>
      <c r="H20" s="90"/>
      <c r="J20" s="90"/>
      <c r="K20" s="90"/>
      <c r="L20" s="90"/>
      <c r="N20" s="90"/>
      <c r="O20" s="90"/>
      <c r="P20" s="90"/>
    </row>
    <row r="21" spans="2:18" x14ac:dyDescent="0.3">
      <c r="B21" s="90"/>
      <c r="C21" s="90"/>
      <c r="D21" s="90"/>
      <c r="F21" s="90"/>
      <c r="G21" s="90"/>
      <c r="H21" s="90"/>
      <c r="J21" s="90"/>
      <c r="K21" s="90"/>
      <c r="L21" s="90"/>
      <c r="N21" s="90"/>
      <c r="O21" s="90"/>
      <c r="P21" s="90"/>
    </row>
    <row r="22" spans="2:18" x14ac:dyDescent="0.3">
      <c r="B22" s="90"/>
      <c r="C22" s="90"/>
      <c r="D22" s="90"/>
      <c r="F22" s="90"/>
      <c r="G22" s="90"/>
      <c r="H22" s="90"/>
      <c r="J22" s="90"/>
      <c r="K22" s="90"/>
      <c r="L22" s="90"/>
      <c r="N22" s="90"/>
      <c r="O22" s="90"/>
      <c r="P22" s="90"/>
    </row>
    <row r="23" spans="2:18" x14ac:dyDescent="0.3">
      <c r="B23" s="90"/>
      <c r="C23" s="90"/>
      <c r="D23" s="90"/>
      <c r="F23" s="90"/>
      <c r="G23" s="90"/>
      <c r="H23" s="90"/>
      <c r="J23" s="90"/>
      <c r="K23" s="92" t="s">
        <v>129</v>
      </c>
      <c r="L23" s="92">
        <v>0</v>
      </c>
      <c r="M23" s="100"/>
      <c r="N23" s="92"/>
      <c r="O23" s="92" t="s">
        <v>130</v>
      </c>
      <c r="P23" s="92">
        <v>0</v>
      </c>
    </row>
    <row r="24" spans="2:18" x14ac:dyDescent="0.3">
      <c r="B24" s="90"/>
      <c r="C24" s="90"/>
      <c r="D24" s="90"/>
      <c r="F24" s="90"/>
      <c r="G24" s="90"/>
      <c r="H24" s="90"/>
      <c r="J24" s="78" t="s">
        <v>46</v>
      </c>
      <c r="K24" s="79"/>
      <c r="L24" s="80"/>
      <c r="N24" s="78" t="s">
        <v>46</v>
      </c>
      <c r="O24" s="79"/>
      <c r="P24" s="80"/>
    </row>
    <row r="25" spans="2:18" x14ac:dyDescent="0.3">
      <c r="B25" s="90"/>
      <c r="C25" s="90"/>
      <c r="D25" s="90"/>
      <c r="F25" s="90"/>
      <c r="G25" s="90"/>
      <c r="H25" s="90"/>
      <c r="J25" s="90">
        <v>16</v>
      </c>
      <c r="K25" s="93" t="s">
        <v>125</v>
      </c>
      <c r="L25" s="94">
        <v>0</v>
      </c>
      <c r="N25" s="90"/>
      <c r="O25" s="90"/>
      <c r="P25" s="90"/>
    </row>
    <row r="26" spans="2:18" x14ac:dyDescent="0.3">
      <c r="B26" s="90" t="s">
        <v>46</v>
      </c>
      <c r="C26" s="92" t="s">
        <v>152</v>
      </c>
      <c r="D26" s="92">
        <v>0</v>
      </c>
      <c r="F26" s="90"/>
      <c r="G26" s="98" t="s">
        <v>151</v>
      </c>
      <c r="H26" s="98">
        <v>0</v>
      </c>
      <c r="J26" s="90"/>
      <c r="K26" s="90"/>
      <c r="L26" s="90"/>
      <c r="N26" s="90"/>
      <c r="O26" s="90"/>
      <c r="P26" s="90"/>
    </row>
    <row r="27" spans="2:18" x14ac:dyDescent="0.3">
      <c r="B27" s="82" t="s">
        <v>131</v>
      </c>
      <c r="C27" s="83"/>
      <c r="D27" s="99">
        <v>0</v>
      </c>
      <c r="E27" s="100"/>
      <c r="F27" s="82" t="s">
        <v>131</v>
      </c>
      <c r="G27" s="83"/>
      <c r="H27" s="99">
        <v>0</v>
      </c>
      <c r="J27" s="90"/>
      <c r="K27" s="90"/>
      <c r="L27" s="90"/>
      <c r="N27" s="90"/>
      <c r="O27" s="90"/>
      <c r="P27" s="90"/>
    </row>
  </sheetData>
  <mergeCells count="13">
    <mergeCell ref="N2:P2"/>
    <mergeCell ref="B4:D4"/>
    <mergeCell ref="F4:H4"/>
    <mergeCell ref="B27:C27"/>
    <mergeCell ref="F27:G27"/>
    <mergeCell ref="B2:D2"/>
    <mergeCell ref="F2:H2"/>
    <mergeCell ref="J2:L2"/>
    <mergeCell ref="B8:D8"/>
    <mergeCell ref="F9:H9"/>
    <mergeCell ref="F13:H13"/>
    <mergeCell ref="J24:L24"/>
    <mergeCell ref="N24:P2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E22AA-CE53-4B51-934B-51654A96BBA9}">
  <dimension ref="A1"/>
  <sheetViews>
    <sheetView workbookViewId="0">
      <selection activeCell="E28" sqref="E28"/>
    </sheetView>
  </sheetViews>
  <sheetFormatPr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DE274-F6D4-4787-82B0-1567B11599E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F58D9-C0B4-482F-8761-B462A3E4DB50}">
  <dimension ref="A2:G47"/>
  <sheetViews>
    <sheetView workbookViewId="0">
      <selection activeCell="G12" sqref="G12"/>
    </sheetView>
  </sheetViews>
  <sheetFormatPr defaultRowHeight="14.4" x14ac:dyDescent="0.3"/>
  <cols>
    <col min="1" max="1" width="37.88671875" style="89" customWidth="1"/>
    <col min="2" max="16384" width="8.88671875" style="89"/>
  </cols>
  <sheetData>
    <row r="2" spans="1:7" ht="18" x14ac:dyDescent="0.35">
      <c r="A2" s="88" t="s">
        <v>185</v>
      </c>
    </row>
    <row r="4" spans="1:7" x14ac:dyDescent="0.3">
      <c r="A4" s="89" t="s">
        <v>186</v>
      </c>
    </row>
    <row r="5" spans="1:7" x14ac:dyDescent="0.3">
      <c r="A5" s="89" t="s">
        <v>187</v>
      </c>
    </row>
    <row r="7" spans="1:7" x14ac:dyDescent="0.3">
      <c r="A7" s="89" t="s">
        <v>188</v>
      </c>
    </row>
    <row r="8" spans="1:7" x14ac:dyDescent="0.3">
      <c r="A8" s="89" t="s">
        <v>46</v>
      </c>
    </row>
    <row r="9" spans="1:7" x14ac:dyDescent="0.3">
      <c r="A9" s="100" t="s">
        <v>189</v>
      </c>
      <c r="C9" s="89" t="s">
        <v>190</v>
      </c>
      <c r="D9" s="89" t="s">
        <v>191</v>
      </c>
      <c r="E9" s="89" t="s">
        <v>192</v>
      </c>
    </row>
    <row r="10" spans="1:7" x14ac:dyDescent="0.3">
      <c r="A10" s="89" t="s">
        <v>193</v>
      </c>
    </row>
    <row r="11" spans="1:7" x14ac:dyDescent="0.3">
      <c r="A11" s="89" t="s">
        <v>194</v>
      </c>
      <c r="B11" s="104">
        <f>D11*E11</f>
        <v>1125</v>
      </c>
      <c r="C11" s="89">
        <f>D11*(1+E11)</f>
        <v>5625</v>
      </c>
      <c r="D11" s="89">
        <v>4500</v>
      </c>
      <c r="E11" s="89">
        <v>0.25</v>
      </c>
    </row>
    <row r="13" spans="1:7" x14ac:dyDescent="0.3">
      <c r="A13" s="100" t="s">
        <v>195</v>
      </c>
    </row>
    <row r="14" spans="1:7" x14ac:dyDescent="0.3">
      <c r="A14" s="89" t="s">
        <v>196</v>
      </c>
    </row>
    <row r="15" spans="1:7" x14ac:dyDescent="0.3">
      <c r="A15" s="89" t="s">
        <v>194</v>
      </c>
      <c r="B15" s="104">
        <f>D15*E15</f>
        <v>816</v>
      </c>
      <c r="C15" s="89">
        <f>D15*(1+E15)</f>
        <v>7616.0000000000009</v>
      </c>
      <c r="D15" s="89">
        <v>6800</v>
      </c>
      <c r="E15" s="89">
        <v>0.12</v>
      </c>
    </row>
    <row r="16" spans="1:7" x14ac:dyDescent="0.3">
      <c r="C16" s="89">
        <f>D16/F16</f>
        <v>7616.0000000000009</v>
      </c>
      <c r="D16" s="89">
        <v>6800</v>
      </c>
      <c r="E16" s="89">
        <v>0.12</v>
      </c>
      <c r="F16" s="89">
        <f>1/(1+E16)</f>
        <v>0.89285714285714279</v>
      </c>
      <c r="G16" s="89">
        <f>1-F16</f>
        <v>0.10714285714285721</v>
      </c>
    </row>
    <row r="17" spans="1:7" x14ac:dyDescent="0.3">
      <c r="A17" s="100" t="s">
        <v>197</v>
      </c>
    </row>
    <row r="18" spans="1:7" x14ac:dyDescent="0.3">
      <c r="A18" s="89" t="s">
        <v>198</v>
      </c>
    </row>
    <row r="19" spans="1:7" x14ac:dyDescent="0.3">
      <c r="A19" s="89" t="s">
        <v>194</v>
      </c>
      <c r="B19" s="104">
        <f>C19-D19</f>
        <v>70.754716981132106</v>
      </c>
      <c r="C19" s="89">
        <v>1250</v>
      </c>
      <c r="D19" s="89">
        <f>C19/(1+E19)</f>
        <v>1179.2452830188679</v>
      </c>
      <c r="E19" s="89">
        <v>0.06</v>
      </c>
    </row>
    <row r="20" spans="1:7" x14ac:dyDescent="0.3">
      <c r="B20" s="89">
        <f>C20*G20</f>
        <v>70.754716981132205</v>
      </c>
      <c r="C20" s="89">
        <v>1250</v>
      </c>
      <c r="D20" s="89">
        <f>C20*F20</f>
        <v>1179.2452830188679</v>
      </c>
      <c r="E20" s="89">
        <v>0.06</v>
      </c>
      <c r="F20" s="89">
        <f>1/(1+E20)</f>
        <v>0.94339622641509424</v>
      </c>
      <c r="G20" s="89">
        <f>1-F20</f>
        <v>5.6603773584905759E-2</v>
      </c>
    </row>
    <row r="21" spans="1:7" x14ac:dyDescent="0.3">
      <c r="A21" s="100" t="s">
        <v>199</v>
      </c>
    </row>
    <row r="22" spans="1:7" x14ac:dyDescent="0.3">
      <c r="A22" s="89" t="s">
        <v>200</v>
      </c>
    </row>
    <row r="23" spans="1:7" x14ac:dyDescent="0.3">
      <c r="A23" s="89" t="s">
        <v>194</v>
      </c>
      <c r="B23" s="104">
        <f>D23*E23</f>
        <v>57.599999999999994</v>
      </c>
      <c r="C23" s="89">
        <f>D23*(1+E23)</f>
        <v>1017.6</v>
      </c>
      <c r="D23" s="89">
        <v>960</v>
      </c>
      <c r="E23" s="89">
        <v>0.06</v>
      </c>
    </row>
    <row r="25" spans="1:7" x14ac:dyDescent="0.3">
      <c r="A25" s="100" t="s">
        <v>201</v>
      </c>
    </row>
    <row r="26" spans="1:7" x14ac:dyDescent="0.3">
      <c r="A26" s="89" t="s">
        <v>202</v>
      </c>
    </row>
    <row r="27" spans="1:7" x14ac:dyDescent="0.3">
      <c r="A27" s="89" t="s">
        <v>194</v>
      </c>
      <c r="B27" s="104">
        <f>C27-D27</f>
        <v>186.96428571428578</v>
      </c>
      <c r="C27" s="89">
        <v>1745</v>
      </c>
      <c r="D27" s="89">
        <f>C27/(1+E27)</f>
        <v>1558.0357142857142</v>
      </c>
      <c r="E27" s="89">
        <v>0.12</v>
      </c>
    </row>
    <row r="29" spans="1:7" x14ac:dyDescent="0.3">
      <c r="A29" s="100" t="s">
        <v>203</v>
      </c>
    </row>
    <row r="30" spans="1:7" x14ac:dyDescent="0.3">
      <c r="A30" s="89" t="s">
        <v>204</v>
      </c>
    </row>
    <row r="31" spans="1:7" x14ac:dyDescent="0.3">
      <c r="A31" s="89" t="s">
        <v>194</v>
      </c>
      <c r="B31" s="104">
        <f>D31*E31</f>
        <v>585</v>
      </c>
      <c r="C31" s="89">
        <f>D31*(1+E31)</f>
        <v>2925</v>
      </c>
      <c r="D31" s="89">
        <v>2340</v>
      </c>
      <c r="E31" s="89">
        <v>0.25</v>
      </c>
    </row>
    <row r="33" spans="1:5" x14ac:dyDescent="0.3">
      <c r="A33" s="100" t="s">
        <v>205</v>
      </c>
    </row>
    <row r="34" spans="1:5" x14ac:dyDescent="0.3">
      <c r="A34" s="89" t="s">
        <v>206</v>
      </c>
    </row>
    <row r="35" spans="1:5" x14ac:dyDescent="0.3">
      <c r="A35" s="89" t="s">
        <v>207</v>
      </c>
      <c r="B35" s="104">
        <f>D35</f>
        <v>3035.7142857142853</v>
      </c>
      <c r="C35" s="89">
        <v>3400</v>
      </c>
      <c r="D35" s="89">
        <f>C35/(1+E35)</f>
        <v>3035.7142857142853</v>
      </c>
      <c r="E35" s="89">
        <v>0.12</v>
      </c>
    </row>
    <row r="37" spans="1:5" x14ac:dyDescent="0.3">
      <c r="A37" s="100" t="s">
        <v>208</v>
      </c>
    </row>
    <row r="38" spans="1:5" x14ac:dyDescent="0.3">
      <c r="A38" s="89" t="s">
        <v>209</v>
      </c>
    </row>
    <row r="39" spans="1:5" x14ac:dyDescent="0.3">
      <c r="A39" s="89" t="s">
        <v>210</v>
      </c>
      <c r="B39" s="104">
        <f>C39</f>
        <v>3763</v>
      </c>
      <c r="C39" s="89">
        <f>D39*(1+E39)</f>
        <v>3763</v>
      </c>
      <c r="D39" s="89">
        <v>3550</v>
      </c>
      <c r="E39" s="89">
        <v>0.06</v>
      </c>
    </row>
    <row r="41" spans="1:5" x14ac:dyDescent="0.3">
      <c r="A41" s="100" t="s">
        <v>211</v>
      </c>
    </row>
    <row r="42" spans="1:5" x14ac:dyDescent="0.3">
      <c r="A42" s="89" t="s">
        <v>212</v>
      </c>
    </row>
    <row r="43" spans="1:5" x14ac:dyDescent="0.3">
      <c r="A43" s="89" t="s">
        <v>213</v>
      </c>
      <c r="B43" s="104">
        <f>D43</f>
        <v>116.07142857142856</v>
      </c>
      <c r="C43" s="89">
        <f>130</f>
        <v>130</v>
      </c>
      <c r="D43" s="89">
        <f>C43/(1+E43)</f>
        <v>116.07142857142856</v>
      </c>
      <c r="E43" s="89">
        <v>0.12</v>
      </c>
    </row>
    <row r="45" spans="1:5" x14ac:dyDescent="0.3">
      <c r="A45" s="100" t="s">
        <v>214</v>
      </c>
    </row>
    <row r="46" spans="1:5" x14ac:dyDescent="0.3">
      <c r="A46" s="89" t="s">
        <v>215</v>
      </c>
    </row>
    <row r="47" spans="1:5" x14ac:dyDescent="0.3">
      <c r="A47" s="89" t="s">
        <v>216</v>
      </c>
      <c r="B47" s="104">
        <f>C47</f>
        <v>4850</v>
      </c>
      <c r="C47" s="89">
        <f>D47*(1+E47)</f>
        <v>4850</v>
      </c>
      <c r="D47" s="89">
        <v>3880</v>
      </c>
      <c r="E47" s="89">
        <v>0.25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E501D-CC5D-461B-B453-3B717875D5EA}">
  <dimension ref="B1:J21"/>
  <sheetViews>
    <sheetView workbookViewId="0">
      <selection activeCell="C17" sqref="C17"/>
    </sheetView>
  </sheetViews>
  <sheetFormatPr defaultColWidth="9.21875" defaultRowHeight="13.8" x14ac:dyDescent="0.3"/>
  <cols>
    <col min="1" max="1" width="4.5546875" style="31" customWidth="1"/>
    <col min="2" max="2" width="27.5546875" style="31" customWidth="1"/>
    <col min="3" max="3" width="11.21875" style="31" customWidth="1"/>
    <col min="4" max="4" width="2.6640625" style="31" customWidth="1"/>
    <col min="5" max="5" width="3.5546875" style="31" customWidth="1"/>
    <col min="6" max="6" width="16.6640625" style="31" customWidth="1"/>
    <col min="7" max="7" width="14.6640625" style="31" customWidth="1"/>
    <col min="8" max="8" width="5.77734375" style="31" customWidth="1"/>
    <col min="9" max="10" width="6.44140625" style="31" customWidth="1"/>
    <col min="11" max="11" width="6.77734375" style="31" customWidth="1"/>
    <col min="12" max="12" width="7.21875" style="31" customWidth="1"/>
    <col min="13" max="16384" width="9.21875" style="31"/>
  </cols>
  <sheetData>
    <row r="1" spans="2:10" ht="15.6" x14ac:dyDescent="0.3">
      <c r="B1" s="30" t="s">
        <v>60</v>
      </c>
    </row>
    <row r="2" spans="2:10" x14ac:dyDescent="0.3">
      <c r="B2" s="32" t="s">
        <v>61</v>
      </c>
    </row>
    <row r="3" spans="2:10" ht="27.6" x14ac:dyDescent="0.3">
      <c r="B3" s="33"/>
      <c r="C3" s="34" t="s">
        <v>62</v>
      </c>
      <c r="D3" s="34"/>
      <c r="E3" s="35"/>
      <c r="F3" s="33" t="s">
        <v>63</v>
      </c>
      <c r="G3" s="33"/>
      <c r="H3" s="36"/>
      <c r="I3" s="36"/>
      <c r="J3" s="36"/>
    </row>
    <row r="4" spans="2:10" x14ac:dyDescent="0.3">
      <c r="B4" s="31" t="s">
        <v>64</v>
      </c>
      <c r="C4" s="31">
        <f>I16*G21</f>
        <v>1540200</v>
      </c>
      <c r="D4" s="37"/>
      <c r="F4" s="31" t="s">
        <v>65</v>
      </c>
      <c r="G4" s="31" t="s">
        <v>66</v>
      </c>
    </row>
    <row r="5" spans="2:10" x14ac:dyDescent="0.3">
      <c r="B5" s="31" t="s">
        <v>67</v>
      </c>
      <c r="C5" s="38">
        <f>I17*G21</f>
        <v>815400</v>
      </c>
      <c r="D5" s="37"/>
      <c r="F5" s="31" t="s">
        <v>68</v>
      </c>
      <c r="G5" s="31" t="s">
        <v>69</v>
      </c>
    </row>
    <row r="6" spans="2:10" x14ac:dyDescent="0.3">
      <c r="B6" s="39" t="s">
        <v>70</v>
      </c>
      <c r="C6" s="40">
        <f>C4-C5</f>
        <v>724800</v>
      </c>
      <c r="D6" s="41"/>
      <c r="F6" s="31" t="s">
        <v>71</v>
      </c>
      <c r="G6" s="31" t="s">
        <v>72</v>
      </c>
    </row>
    <row r="7" spans="2:10" x14ac:dyDescent="0.3">
      <c r="C7" s="38"/>
      <c r="D7" s="37"/>
      <c r="F7" s="31" t="s">
        <v>73</v>
      </c>
      <c r="G7" s="31" t="s">
        <v>74</v>
      </c>
    </row>
    <row r="8" spans="2:10" x14ac:dyDescent="0.3">
      <c r="B8" s="31" t="s">
        <v>75</v>
      </c>
      <c r="C8" s="38">
        <f>24000*(1+0.4)*12</f>
        <v>403200</v>
      </c>
      <c r="D8" s="37"/>
      <c r="F8" s="31" t="s">
        <v>76</v>
      </c>
      <c r="G8" s="31" t="s">
        <v>77</v>
      </c>
    </row>
    <row r="9" spans="2:10" x14ac:dyDescent="0.3">
      <c r="B9" s="31" t="s">
        <v>78</v>
      </c>
      <c r="C9" s="38">
        <f>9000*12</f>
        <v>108000</v>
      </c>
      <c r="D9" s="37"/>
      <c r="F9" s="31" t="s">
        <v>79</v>
      </c>
      <c r="G9" s="31" t="s">
        <v>80</v>
      </c>
    </row>
    <row r="10" spans="2:10" ht="14.4" thickBot="1" x14ac:dyDescent="0.35">
      <c r="B10" s="31" t="s">
        <v>81</v>
      </c>
      <c r="C10" s="38">
        <f>1500*20</f>
        <v>30000</v>
      </c>
      <c r="D10" s="37"/>
    </row>
    <row r="11" spans="2:10" x14ac:dyDescent="0.3">
      <c r="B11" s="31" t="s">
        <v>82</v>
      </c>
      <c r="C11" s="38">
        <f>J13</f>
        <v>50400</v>
      </c>
      <c r="D11" s="37"/>
      <c r="F11" s="42" t="s">
        <v>83</v>
      </c>
      <c r="G11" s="43" t="s">
        <v>84</v>
      </c>
      <c r="I11" s="31" t="s">
        <v>85</v>
      </c>
      <c r="J11" s="31">
        <f>1700*12</f>
        <v>20400</v>
      </c>
    </row>
    <row r="12" spans="2:10" x14ac:dyDescent="0.3">
      <c r="B12" s="31" t="s">
        <v>86</v>
      </c>
      <c r="C12" s="38">
        <f>400*12</f>
        <v>4800</v>
      </c>
      <c r="D12" s="37"/>
      <c r="F12" s="44" t="s">
        <v>87</v>
      </c>
      <c r="G12" s="45">
        <f>C18/C4</f>
        <v>3.4021555642124397E-2</v>
      </c>
      <c r="I12" s="31" t="s">
        <v>88</v>
      </c>
      <c r="J12" s="31">
        <f>30*1000</f>
        <v>30000</v>
      </c>
    </row>
    <row r="13" spans="2:10" ht="14.4" thickBot="1" x14ac:dyDescent="0.35">
      <c r="B13" s="31" t="s">
        <v>89</v>
      </c>
      <c r="C13" s="38">
        <v>50000</v>
      </c>
      <c r="D13" s="37"/>
      <c r="F13" s="46" t="s">
        <v>90</v>
      </c>
      <c r="G13" s="45">
        <f>I18/I16</f>
        <v>0.47058823529411764</v>
      </c>
      <c r="J13" s="31">
        <f>J11+J12</f>
        <v>50400</v>
      </c>
    </row>
    <row r="14" spans="2:10" ht="14.4" thickBot="1" x14ac:dyDescent="0.35">
      <c r="B14" s="31" t="s">
        <v>91</v>
      </c>
      <c r="C14" s="38">
        <v>18000</v>
      </c>
      <c r="D14" s="37"/>
    </row>
    <row r="15" spans="2:10" ht="14.4" thickBot="1" x14ac:dyDescent="0.35">
      <c r="B15" s="47" t="s">
        <v>92</v>
      </c>
      <c r="C15" s="48">
        <f>SUM(C8:C14)</f>
        <v>664400</v>
      </c>
      <c r="D15" s="37"/>
      <c r="E15" s="49"/>
      <c r="F15" s="50" t="s">
        <v>93</v>
      </c>
      <c r="G15" s="51"/>
    </row>
    <row r="16" spans="2:10" x14ac:dyDescent="0.3">
      <c r="B16" s="47" t="s">
        <v>94</v>
      </c>
      <c r="C16" s="48">
        <f>C6-C15</f>
        <v>60400</v>
      </c>
      <c r="D16" s="37"/>
      <c r="E16" s="44"/>
      <c r="F16" s="52">
        <v>50000</v>
      </c>
      <c r="H16" s="49" t="s">
        <v>95</v>
      </c>
      <c r="I16" s="53">
        <f>1700</f>
        <v>1700</v>
      </c>
    </row>
    <row r="17" spans="2:9" x14ac:dyDescent="0.3">
      <c r="B17" s="31" t="s">
        <v>96</v>
      </c>
      <c r="C17" s="38">
        <f>40000/5</f>
        <v>8000</v>
      </c>
      <c r="D17" s="37"/>
      <c r="E17" s="54" t="s">
        <v>97</v>
      </c>
      <c r="F17" s="55">
        <f>C15</f>
        <v>664400</v>
      </c>
      <c r="H17" s="44" t="s">
        <v>98</v>
      </c>
      <c r="I17" s="56">
        <v>900</v>
      </c>
    </row>
    <row r="18" spans="2:9" ht="14.4" thickBot="1" x14ac:dyDescent="0.35">
      <c r="B18" s="39" t="s">
        <v>99</v>
      </c>
      <c r="C18" s="48">
        <f>C16-C17</f>
        <v>52400</v>
      </c>
      <c r="D18" s="37"/>
      <c r="E18" s="54" t="s">
        <v>100</v>
      </c>
      <c r="F18" s="55">
        <f>C17</f>
        <v>8000</v>
      </c>
      <c r="H18" s="46" t="s">
        <v>101</v>
      </c>
      <c r="I18" s="57">
        <f>I16-I17</f>
        <v>800</v>
      </c>
    </row>
    <row r="19" spans="2:9" x14ac:dyDescent="0.3">
      <c r="B19" s="31" t="s">
        <v>102</v>
      </c>
      <c r="C19" s="38">
        <f>40000*0.05</f>
        <v>2000</v>
      </c>
      <c r="D19" s="37"/>
      <c r="E19" s="54" t="s">
        <v>103</v>
      </c>
      <c r="F19" s="55">
        <f>C19</f>
        <v>2000</v>
      </c>
    </row>
    <row r="20" spans="2:9" ht="14.4" thickBot="1" x14ac:dyDescent="0.35">
      <c r="B20" s="58" t="s">
        <v>104</v>
      </c>
      <c r="C20" s="40">
        <f>C18-C19</f>
        <v>50400</v>
      </c>
      <c r="D20" s="37"/>
      <c r="E20" s="59" t="s">
        <v>105</v>
      </c>
      <c r="F20" s="60">
        <f>SUM(F16:F19)</f>
        <v>724400</v>
      </c>
    </row>
    <row r="21" spans="2:9" ht="14.4" x14ac:dyDescent="0.3">
      <c r="E21" s="61" t="s">
        <v>106</v>
      </c>
      <c r="F21" s="62"/>
      <c r="G21" s="63">
        <f>_xlfn.CEILING.MATH(F20/I18)</f>
        <v>906</v>
      </c>
    </row>
  </sheetData>
  <mergeCells count="1">
    <mergeCell ref="E21:F21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A5E5D-0171-4791-BA61-A1DFD8BEAE1D}">
  <dimension ref="B1:J25"/>
  <sheetViews>
    <sheetView workbookViewId="0">
      <selection activeCell="K11" sqref="K11"/>
    </sheetView>
  </sheetViews>
  <sheetFormatPr defaultColWidth="9.21875" defaultRowHeight="13.8" x14ac:dyDescent="0.3"/>
  <cols>
    <col min="1" max="1" width="4.5546875" style="31" customWidth="1"/>
    <col min="2" max="2" width="29.109375" style="31" bestFit="1" customWidth="1"/>
    <col min="3" max="3" width="11.21875" style="31" customWidth="1"/>
    <col min="4" max="4" width="2.6640625" style="31" customWidth="1"/>
    <col min="5" max="5" width="3.5546875" style="31" customWidth="1"/>
    <col min="6" max="6" width="16.6640625" style="31" customWidth="1"/>
    <col min="7" max="7" width="18" style="31" customWidth="1"/>
    <col min="8" max="8" width="5.77734375" style="31" customWidth="1"/>
    <col min="9" max="10" width="6.44140625" style="31" customWidth="1"/>
    <col min="11" max="11" width="6.77734375" style="31" customWidth="1"/>
    <col min="12" max="12" width="7.21875" style="31" customWidth="1"/>
    <col min="13" max="16384" width="9.21875" style="31"/>
  </cols>
  <sheetData>
    <row r="1" spans="2:10" ht="15.6" x14ac:dyDescent="0.3">
      <c r="B1" s="64" t="s">
        <v>107</v>
      </c>
    </row>
    <row r="2" spans="2:10" x14ac:dyDescent="0.3">
      <c r="B2" s="32" t="s">
        <v>61</v>
      </c>
    </row>
    <row r="3" spans="2:10" ht="27.6" x14ac:dyDescent="0.3">
      <c r="B3" s="33"/>
      <c r="C3" s="34" t="s">
        <v>108</v>
      </c>
      <c r="D3" s="34"/>
      <c r="E3" s="35"/>
      <c r="F3" s="33" t="s">
        <v>63</v>
      </c>
      <c r="G3" s="33"/>
      <c r="H3" s="36"/>
      <c r="I3" s="36"/>
      <c r="J3" s="36"/>
    </row>
    <row r="4" spans="2:10" x14ac:dyDescent="0.3">
      <c r="B4" s="31" t="s">
        <v>109</v>
      </c>
      <c r="C4" s="38">
        <f>I16*G21</f>
        <v>1290000</v>
      </c>
      <c r="D4" s="37"/>
      <c r="F4" s="31" t="s">
        <v>65</v>
      </c>
      <c r="G4" s="31" t="s">
        <v>66</v>
      </c>
    </row>
    <row r="5" spans="2:10" x14ac:dyDescent="0.3">
      <c r="B5" s="31" t="s">
        <v>110</v>
      </c>
      <c r="C5" s="38">
        <f>I17*G21</f>
        <v>258000</v>
      </c>
      <c r="D5" s="37"/>
      <c r="F5" s="31" t="s">
        <v>68</v>
      </c>
      <c r="G5" s="31" t="s">
        <v>69</v>
      </c>
    </row>
    <row r="6" spans="2:10" x14ac:dyDescent="0.3">
      <c r="B6" s="39" t="s">
        <v>70</v>
      </c>
      <c r="C6" s="40">
        <f>C4-C5</f>
        <v>1032000</v>
      </c>
      <c r="D6" s="41"/>
      <c r="F6" s="31" t="s">
        <v>71</v>
      </c>
      <c r="G6" s="31" t="s">
        <v>111</v>
      </c>
    </row>
    <row r="7" spans="2:10" x14ac:dyDescent="0.3">
      <c r="C7" s="38"/>
      <c r="D7" s="37"/>
      <c r="F7" s="31" t="s">
        <v>73</v>
      </c>
      <c r="G7" s="31" t="s">
        <v>74</v>
      </c>
    </row>
    <row r="8" spans="2:10" x14ac:dyDescent="0.3">
      <c r="B8" s="31" t="s">
        <v>75</v>
      </c>
      <c r="C8" s="38">
        <f>42000*(1+0.4)*12</f>
        <v>705599.99999999988</v>
      </c>
      <c r="D8" s="37"/>
      <c r="F8" s="31" t="s">
        <v>76</v>
      </c>
      <c r="G8" s="31" t="s">
        <v>77</v>
      </c>
    </row>
    <row r="9" spans="2:10" x14ac:dyDescent="0.3">
      <c r="B9" s="31" t="s">
        <v>78</v>
      </c>
      <c r="C9" s="38">
        <f>8000*12</f>
        <v>96000</v>
      </c>
      <c r="D9" s="37"/>
      <c r="F9" s="31" t="s">
        <v>79</v>
      </c>
      <c r="G9" s="31" t="s">
        <v>80</v>
      </c>
    </row>
    <row r="10" spans="2:10" ht="14.4" thickBot="1" x14ac:dyDescent="0.35">
      <c r="B10" s="31" t="s">
        <v>81</v>
      </c>
      <c r="C10" s="38">
        <f>1500*5</f>
        <v>7500</v>
      </c>
      <c r="D10" s="37"/>
    </row>
    <row r="11" spans="2:10" x14ac:dyDescent="0.3">
      <c r="B11" s="31" t="s">
        <v>82</v>
      </c>
      <c r="C11" s="38">
        <f>J13</f>
        <v>81600</v>
      </c>
      <c r="D11" s="37"/>
      <c r="F11" s="42" t="s">
        <v>83</v>
      </c>
      <c r="G11" s="43" t="s">
        <v>84</v>
      </c>
      <c r="I11" s="31" t="s">
        <v>85</v>
      </c>
      <c r="J11" s="31">
        <f>3800*12</f>
        <v>45600</v>
      </c>
    </row>
    <row r="12" spans="2:10" x14ac:dyDescent="0.3">
      <c r="B12" s="31" t="s">
        <v>86</v>
      </c>
      <c r="C12" s="38">
        <v>4000</v>
      </c>
      <c r="D12" s="37"/>
      <c r="F12" s="44" t="s">
        <v>87</v>
      </c>
      <c r="G12" s="45">
        <f>C18/C4</f>
        <v>6.6124031007752035E-2</v>
      </c>
      <c r="I12" s="31" t="s">
        <v>113</v>
      </c>
      <c r="J12" s="31">
        <f>1200*30</f>
        <v>36000</v>
      </c>
    </row>
    <row r="13" spans="2:10" ht="14.4" thickBot="1" x14ac:dyDescent="0.35">
      <c r="B13" s="31" t="s">
        <v>89</v>
      </c>
      <c r="C13" s="38">
        <f>30000</f>
        <v>30000</v>
      </c>
      <c r="D13" s="37"/>
      <c r="F13" s="46" t="s">
        <v>90</v>
      </c>
      <c r="G13" s="65">
        <f>I18/I16</f>
        <v>0.8</v>
      </c>
      <c r="J13" s="31">
        <f>J11+J12</f>
        <v>81600</v>
      </c>
    </row>
    <row r="14" spans="2:10" ht="14.4" thickBot="1" x14ac:dyDescent="0.35">
      <c r="B14" s="31" t="s">
        <v>91</v>
      </c>
      <c r="C14" s="38">
        <f>10000</f>
        <v>10000</v>
      </c>
      <c r="D14" s="37"/>
    </row>
    <row r="15" spans="2:10" ht="14.4" thickBot="1" x14ac:dyDescent="0.35">
      <c r="B15" s="47" t="s">
        <v>92</v>
      </c>
      <c r="C15" s="40">
        <f>SUM(C8:C14)</f>
        <v>934699.99999999988</v>
      </c>
      <c r="D15" s="37"/>
      <c r="E15" s="49"/>
      <c r="F15" s="50" t="s">
        <v>93</v>
      </c>
      <c r="G15" s="51"/>
    </row>
    <row r="16" spans="2:10" x14ac:dyDescent="0.3">
      <c r="B16" s="47" t="s">
        <v>94</v>
      </c>
      <c r="C16" s="40">
        <f>C6-C15</f>
        <v>97300.000000000116</v>
      </c>
      <c r="D16" s="37"/>
      <c r="E16" s="44"/>
      <c r="F16" s="52">
        <v>80000</v>
      </c>
      <c r="H16" s="49" t="s">
        <v>95</v>
      </c>
      <c r="I16" s="53">
        <v>2500</v>
      </c>
    </row>
    <row r="17" spans="2:9" x14ac:dyDescent="0.3">
      <c r="B17" s="31" t="s">
        <v>112</v>
      </c>
      <c r="C17" s="38">
        <f>60000/5</f>
        <v>12000</v>
      </c>
      <c r="D17" s="37"/>
      <c r="E17" s="54" t="s">
        <v>97</v>
      </c>
      <c r="F17" s="55">
        <f>C15</f>
        <v>934699.99999999988</v>
      </c>
      <c r="H17" s="44" t="s">
        <v>98</v>
      </c>
      <c r="I17" s="56">
        <v>500</v>
      </c>
    </row>
    <row r="18" spans="2:9" ht="14.4" thickBot="1" x14ac:dyDescent="0.35">
      <c r="B18" s="39" t="s">
        <v>99</v>
      </c>
      <c r="C18" s="40">
        <f>C16-C17</f>
        <v>85300.000000000116</v>
      </c>
      <c r="D18" s="37"/>
      <c r="E18" s="54" t="s">
        <v>100</v>
      </c>
      <c r="F18" s="55">
        <f>C17</f>
        <v>12000</v>
      </c>
      <c r="H18" s="46" t="s">
        <v>101</v>
      </c>
      <c r="I18" s="57">
        <f>I16-I17</f>
        <v>2000</v>
      </c>
    </row>
    <row r="19" spans="2:9" x14ac:dyDescent="0.3">
      <c r="B19" s="31" t="s">
        <v>102</v>
      </c>
      <c r="C19" s="38">
        <f>80000*0.05</f>
        <v>4000</v>
      </c>
      <c r="D19" s="37"/>
      <c r="E19" s="54" t="s">
        <v>103</v>
      </c>
      <c r="F19" s="55">
        <f>C19</f>
        <v>4000</v>
      </c>
    </row>
    <row r="20" spans="2:9" ht="14.4" thickBot="1" x14ac:dyDescent="0.35">
      <c r="B20" s="58" t="s">
        <v>104</v>
      </c>
      <c r="C20" s="40">
        <f>C18-C19</f>
        <v>81300.000000000116</v>
      </c>
      <c r="D20" s="37"/>
      <c r="E20" s="59" t="s">
        <v>105</v>
      </c>
      <c r="F20" s="60">
        <f>SUM(F16:F19)</f>
        <v>1030699.9999999999</v>
      </c>
    </row>
    <row r="21" spans="2:9" ht="14.4" x14ac:dyDescent="0.3">
      <c r="E21" s="61" t="s">
        <v>106</v>
      </c>
      <c r="F21" s="62"/>
      <c r="G21" s="66">
        <f>_xlfn.CEILING.MATH(F20/I18)</f>
        <v>516</v>
      </c>
    </row>
    <row r="22" spans="2:9" x14ac:dyDescent="0.3">
      <c r="G22" s="31">
        <f>F20/I18</f>
        <v>515.34999999999991</v>
      </c>
    </row>
    <row r="24" spans="2:9" x14ac:dyDescent="0.3">
      <c r="B24" s="31" t="s">
        <v>114</v>
      </c>
    </row>
    <row r="25" spans="2:9" x14ac:dyDescent="0.3">
      <c r="B25" s="31" t="s">
        <v>115</v>
      </c>
    </row>
  </sheetData>
  <mergeCells count="1">
    <mergeCell ref="E21:F21"/>
  </mergeCells>
  <pageMargins left="0.7" right="0.7" top="0.75" bottom="0.75" header="0.3" footer="0.3"/>
  <ignoredErrors>
    <ignoredError sqref="C19" formula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Cykeluppgift</vt:lpstr>
      <vt:lpstr>Break even Stolspecialisten</vt:lpstr>
      <vt:lpstr>Break even Billampor</vt:lpstr>
      <vt:lpstr>Bokför Lisas Barnvagnar</vt:lpstr>
      <vt:lpstr>Bokför Sunes solstolar</vt:lpstr>
      <vt:lpstr>Bokför Ahmeds cykel AB</vt:lpstr>
      <vt:lpstr>Påläggskalkylering grunder</vt:lpstr>
      <vt:lpstr>Påläggskalkyl grillar</vt:lpstr>
      <vt:lpstr>Moms</vt:lpstr>
      <vt:lpstr>Resultatbudget Millas kjolar</vt:lpstr>
      <vt:lpstr>Resultatbudget Mollys cyklar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Xingrong Zong</dc:creator>
  <cp:lastModifiedBy>Xingrong Zong</cp:lastModifiedBy>
  <dcterms:created xsi:type="dcterms:W3CDTF">2015-06-05T18:17:20Z</dcterms:created>
  <dcterms:modified xsi:type="dcterms:W3CDTF">2024-01-10T13:40:15Z</dcterms:modified>
</cp:coreProperties>
</file>