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ronaz\Desktop\International Business Logistics - Green Management\Projektledning och affärskommunikation\Assignments\"/>
    </mc:Choice>
  </mc:AlternateContent>
  <xr:revisionPtr revIDLastSave="0" documentId="13_ncr:1_{C96B364A-E185-4D6A-B61A-9063FD4C7925}" xr6:coauthVersionLast="47" xr6:coauthVersionMax="47" xr10:uidLastSave="{00000000-0000-0000-0000-000000000000}"/>
  <bookViews>
    <workbookView xWindow="0" yWindow="0" windowWidth="11520" windowHeight="12360" activeTab="3" xr2:uid="{00000000-000D-0000-FFFF-FFFF00000000}"/>
  </bookViews>
  <sheets>
    <sheet name="Gantt Chart" sheetId="3" r:id="rId1"/>
    <sheet name="Sheet3" sheetId="5" r:id="rId2"/>
    <sheet name="Sheet1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" i="2" l="1"/>
  <c r="A142" i="2"/>
  <c r="A144" i="2"/>
  <c r="P136" i="2"/>
  <c r="N144" i="2"/>
  <c r="P144" i="2"/>
  <c r="R146" i="2"/>
  <c r="T146" i="2"/>
  <c r="A140" i="2"/>
  <c r="R136" i="2"/>
  <c r="T136" i="2"/>
  <c r="V141" i="2"/>
  <c r="X141" i="2"/>
  <c r="Z145" i="2"/>
  <c r="Z141" i="2"/>
  <c r="Z137" i="2"/>
  <c r="AB137" i="2"/>
  <c r="AB141" i="2"/>
  <c r="AB145" i="2"/>
  <c r="AF143" i="2"/>
  <c r="AD143" i="2"/>
  <c r="AD137" i="2"/>
  <c r="AF137" i="2"/>
  <c r="AH140" i="2"/>
  <c r="AJ140" i="2"/>
  <c r="A138" i="2"/>
  <c r="A136" i="2"/>
  <c r="A134" i="2"/>
  <c r="P148" i="2"/>
  <c r="N148" i="2"/>
  <c r="L148" i="2"/>
  <c r="J148" i="2"/>
  <c r="J140" i="2"/>
  <c r="H148" i="2"/>
  <c r="F148" i="2"/>
  <c r="P146" i="2"/>
  <c r="N146" i="2"/>
  <c r="L146" i="2"/>
  <c r="J146" i="2"/>
  <c r="H146" i="2"/>
  <c r="F146" i="2"/>
  <c r="T144" i="2"/>
  <c r="R144" i="2"/>
  <c r="D144" i="2"/>
  <c r="B144" i="2"/>
  <c r="AB143" i="2"/>
  <c r="Z143" i="2"/>
  <c r="P142" i="2"/>
  <c r="N142" i="2"/>
  <c r="D142" i="2"/>
  <c r="B142" i="2"/>
  <c r="AF141" i="2"/>
  <c r="AD141" i="2"/>
  <c r="L140" i="2"/>
  <c r="H140" i="2"/>
  <c r="F140" i="2"/>
  <c r="AB139" i="2"/>
  <c r="Z139" i="2"/>
  <c r="X139" i="2"/>
  <c r="V139" i="2"/>
  <c r="AJ138" i="2"/>
  <c r="AH138" i="2"/>
  <c r="L138" i="2"/>
  <c r="J138" i="2"/>
  <c r="H138" i="2"/>
  <c r="F138" i="2"/>
  <c r="N136" i="2"/>
  <c r="AF135" i="2"/>
  <c r="AD135" i="2"/>
  <c r="AB135" i="2"/>
  <c r="Z135" i="2"/>
  <c r="T134" i="2"/>
  <c r="R134" i="2"/>
  <c r="P134" i="2"/>
  <c r="N134" i="2"/>
  <c r="AJ122" i="2"/>
  <c r="AH122" i="2"/>
  <c r="AF125" i="2"/>
  <c r="AF119" i="2"/>
  <c r="AD125" i="2"/>
  <c r="AD119" i="2"/>
  <c r="AB127" i="2"/>
  <c r="AB123" i="2"/>
  <c r="AB119" i="2"/>
  <c r="Z127" i="2"/>
  <c r="Z123" i="2"/>
  <c r="Z119" i="2"/>
  <c r="X123" i="2"/>
  <c r="V123" i="2"/>
  <c r="T118" i="2"/>
  <c r="R118" i="2"/>
  <c r="P118" i="2"/>
  <c r="A115" i="2"/>
  <c r="F130" i="2"/>
  <c r="P128" i="2"/>
  <c r="N128" i="2"/>
  <c r="L128" i="2"/>
  <c r="J128" i="2"/>
  <c r="H128" i="2"/>
  <c r="F128" i="2"/>
  <c r="T126" i="2"/>
  <c r="R126" i="2"/>
  <c r="D126" i="2"/>
  <c r="B126" i="2"/>
  <c r="AB125" i="2"/>
  <c r="Z125" i="2"/>
  <c r="P124" i="2"/>
  <c r="N124" i="2"/>
  <c r="D124" i="2"/>
  <c r="B124" i="2"/>
  <c r="AF123" i="2"/>
  <c r="AD123" i="2"/>
  <c r="L122" i="2"/>
  <c r="H122" i="2"/>
  <c r="F122" i="2"/>
  <c r="AB121" i="2"/>
  <c r="Z121" i="2"/>
  <c r="X121" i="2"/>
  <c r="V121" i="2"/>
  <c r="AJ120" i="2"/>
  <c r="AH120" i="2"/>
  <c r="L120" i="2"/>
  <c r="J120" i="2"/>
  <c r="H120" i="2"/>
  <c r="F120" i="2"/>
  <c r="N118" i="2"/>
  <c r="AF117" i="2"/>
  <c r="AD117" i="2"/>
  <c r="AB117" i="2"/>
  <c r="Z117" i="2"/>
  <c r="T116" i="2"/>
  <c r="R116" i="2"/>
  <c r="P116" i="2"/>
  <c r="N116" i="2"/>
  <c r="AJ104" i="2"/>
  <c r="AH104" i="2"/>
  <c r="AF107" i="2"/>
  <c r="AD107" i="2"/>
  <c r="AF101" i="2"/>
  <c r="AD101" i="2"/>
  <c r="AB105" i="2"/>
  <c r="AB109" i="2"/>
  <c r="Z109" i="2"/>
  <c r="Z105" i="2"/>
  <c r="AB101" i="2"/>
  <c r="Z101" i="2"/>
  <c r="X105" i="2"/>
  <c r="V105" i="2"/>
  <c r="A98" i="2"/>
  <c r="A80" i="2"/>
  <c r="T100" i="2"/>
  <c r="F112" i="2"/>
  <c r="P110" i="2"/>
  <c r="N110" i="2"/>
  <c r="L110" i="2"/>
  <c r="J110" i="2"/>
  <c r="H110" i="2"/>
  <c r="F110" i="2"/>
  <c r="T108" i="2"/>
  <c r="R108" i="2"/>
  <c r="D108" i="2"/>
  <c r="B108" i="2"/>
  <c r="AB107" i="2"/>
  <c r="Z107" i="2"/>
  <c r="P106" i="2"/>
  <c r="N106" i="2"/>
  <c r="D106" i="2"/>
  <c r="B106" i="2"/>
  <c r="AF105" i="2"/>
  <c r="AD105" i="2"/>
  <c r="L104" i="2"/>
  <c r="H104" i="2"/>
  <c r="F104" i="2"/>
  <c r="AB103" i="2"/>
  <c r="Z103" i="2"/>
  <c r="X103" i="2"/>
  <c r="V103" i="2"/>
  <c r="AJ102" i="2"/>
  <c r="AH102" i="2"/>
  <c r="L102" i="2"/>
  <c r="J102" i="2"/>
  <c r="H102" i="2"/>
  <c r="F102" i="2"/>
  <c r="R100" i="2"/>
  <c r="P100" i="2"/>
  <c r="N100" i="2"/>
  <c r="AF99" i="2"/>
  <c r="AD99" i="2"/>
  <c r="AB99" i="2"/>
  <c r="Z99" i="2"/>
  <c r="T98" i="2"/>
  <c r="R98" i="2"/>
  <c r="P98" i="2"/>
  <c r="N98" i="2"/>
  <c r="AF83" i="2"/>
  <c r="AD83" i="2"/>
  <c r="AB87" i="2"/>
  <c r="AB91" i="2"/>
  <c r="Z91" i="2"/>
  <c r="Z87" i="2"/>
  <c r="AB83" i="2"/>
  <c r="Z83" i="2"/>
  <c r="X87" i="2"/>
  <c r="F94" i="2"/>
  <c r="B90" i="2"/>
  <c r="D90" i="2"/>
  <c r="F86" i="2"/>
  <c r="H86" i="2"/>
  <c r="L86" i="2"/>
  <c r="N82" i="2"/>
  <c r="P82" i="2"/>
  <c r="P88" i="2"/>
  <c r="B24" i="5"/>
  <c r="B23" i="5"/>
  <c r="B22" i="5"/>
  <c r="B21" i="5"/>
  <c r="B25" i="5" s="1"/>
  <c r="P92" i="2"/>
  <c r="N92" i="2"/>
  <c r="L92" i="2"/>
  <c r="J92" i="2"/>
  <c r="H92" i="2"/>
  <c r="F92" i="2"/>
  <c r="T90" i="2"/>
  <c r="R90" i="2"/>
  <c r="AB89" i="2"/>
  <c r="Z89" i="2"/>
  <c r="N88" i="2"/>
  <c r="D88" i="2"/>
  <c r="B88" i="2"/>
  <c r="AF87" i="2"/>
  <c r="AD87" i="2"/>
  <c r="V87" i="2"/>
  <c r="AB85" i="2"/>
  <c r="Z85" i="2"/>
  <c r="X85" i="2"/>
  <c r="V85" i="2"/>
  <c r="AJ84" i="2"/>
  <c r="AH84" i="2"/>
  <c r="L84" i="2"/>
  <c r="J84" i="2"/>
  <c r="H84" i="2"/>
  <c r="F84" i="2"/>
  <c r="T82" i="2"/>
  <c r="R82" i="2"/>
  <c r="AF81" i="2"/>
  <c r="AD81" i="2"/>
  <c r="AB81" i="2"/>
  <c r="Z81" i="2"/>
  <c r="T80" i="2"/>
  <c r="R80" i="2"/>
  <c r="P80" i="2"/>
  <c r="N80" i="2"/>
  <c r="AJ68" i="2"/>
  <c r="AH68" i="2"/>
  <c r="AF65" i="2"/>
  <c r="AF71" i="2"/>
  <c r="AD71" i="2"/>
  <c r="AD65" i="2"/>
  <c r="AB65" i="2"/>
  <c r="AB69" i="2"/>
  <c r="AB73" i="2"/>
  <c r="Z73" i="2"/>
  <c r="Z69" i="2"/>
  <c r="Z65" i="2"/>
  <c r="X69" i="2"/>
  <c r="V69" i="2"/>
  <c r="T74" i="2"/>
  <c r="R74" i="2"/>
  <c r="P72" i="2"/>
  <c r="AM66" i="2"/>
  <c r="AM70" i="2" s="1"/>
  <c r="AM67" i="2"/>
  <c r="P76" i="2"/>
  <c r="N76" i="2"/>
  <c r="N72" i="2"/>
  <c r="AM68" i="2"/>
  <c r="AM69" i="2"/>
  <c r="T64" i="2"/>
  <c r="R64" i="2"/>
  <c r="P64" i="2"/>
  <c r="N64" i="2"/>
  <c r="L76" i="2"/>
  <c r="J74" i="2"/>
  <c r="L68" i="2"/>
  <c r="J68" i="2"/>
  <c r="H68" i="2"/>
  <c r="F56" i="2"/>
  <c r="H56" i="2"/>
  <c r="J56" i="2"/>
  <c r="L56" i="2"/>
  <c r="N56" i="2"/>
  <c r="N50" i="2"/>
  <c r="P56" i="2"/>
  <c r="P52" i="2"/>
  <c r="R54" i="2"/>
  <c r="T54" i="2"/>
  <c r="N44" i="2"/>
  <c r="P44" i="2"/>
  <c r="R44" i="2"/>
  <c r="T44" i="2"/>
  <c r="V49" i="2"/>
  <c r="X49" i="2"/>
  <c r="Z53" i="2"/>
  <c r="Z49" i="2"/>
  <c r="AB49" i="2"/>
  <c r="AB53" i="2"/>
  <c r="AD51" i="2"/>
  <c r="AF51" i="2"/>
  <c r="AB51" i="2"/>
  <c r="Z51" i="2"/>
  <c r="AF49" i="2"/>
  <c r="AD49" i="2"/>
  <c r="AB47" i="2"/>
  <c r="Z47" i="2"/>
  <c r="T42" i="2"/>
  <c r="R42" i="2"/>
  <c r="P42" i="2"/>
  <c r="N42" i="2"/>
  <c r="L46" i="2"/>
  <c r="J46" i="2"/>
  <c r="H46" i="2"/>
  <c r="P54" i="2"/>
  <c r="N54" i="2"/>
  <c r="L54" i="2"/>
  <c r="P50" i="2"/>
  <c r="R52" i="2"/>
  <c r="T52" i="2"/>
  <c r="V47" i="2"/>
  <c r="X47" i="2"/>
  <c r="Z43" i="2"/>
  <c r="AB43" i="2"/>
  <c r="AD43" i="2"/>
  <c r="AF43" i="2"/>
  <c r="AJ46" i="2"/>
  <c r="AH46" i="2"/>
  <c r="F36" i="2"/>
  <c r="H36" i="2"/>
  <c r="J36" i="2"/>
  <c r="L36" i="2"/>
  <c r="N36" i="2"/>
  <c r="P36" i="2"/>
  <c r="N32" i="2"/>
  <c r="P32" i="2"/>
  <c r="R34" i="2"/>
  <c r="T34" i="2"/>
  <c r="V29" i="2"/>
  <c r="X29" i="2"/>
  <c r="Z33" i="2"/>
  <c r="Z29" i="2"/>
  <c r="AB29" i="2"/>
  <c r="AF31" i="2"/>
  <c r="AB33" i="2"/>
  <c r="AD31" i="2"/>
  <c r="L28" i="2"/>
  <c r="N24" i="2"/>
  <c r="P24" i="2"/>
  <c r="R24" i="2"/>
  <c r="T24" i="2"/>
  <c r="Z25" i="2"/>
  <c r="AB25" i="2"/>
  <c r="AD25" i="2"/>
  <c r="AF25" i="2"/>
  <c r="H28" i="2"/>
  <c r="J76" i="2"/>
  <c r="H76" i="2"/>
  <c r="F76" i="2"/>
  <c r="F68" i="2"/>
  <c r="P74" i="2"/>
  <c r="N74" i="2"/>
  <c r="L74" i="2"/>
  <c r="H74" i="2"/>
  <c r="F74" i="2"/>
  <c r="T72" i="2"/>
  <c r="R72" i="2"/>
  <c r="D72" i="2"/>
  <c r="B72" i="2"/>
  <c r="AB71" i="2"/>
  <c r="Z71" i="2"/>
  <c r="P70" i="2"/>
  <c r="N70" i="2"/>
  <c r="D70" i="2"/>
  <c r="B70" i="2"/>
  <c r="AF69" i="2"/>
  <c r="AD69" i="2"/>
  <c r="AB67" i="2"/>
  <c r="Z67" i="2"/>
  <c r="X67" i="2"/>
  <c r="V67" i="2"/>
  <c r="AJ66" i="2"/>
  <c r="AH66" i="2"/>
  <c r="L66" i="2"/>
  <c r="J66" i="2"/>
  <c r="H66" i="2"/>
  <c r="F66" i="2"/>
  <c r="AF63" i="2"/>
  <c r="AD63" i="2"/>
  <c r="AB63" i="2"/>
  <c r="Z63" i="2"/>
  <c r="T62" i="2"/>
  <c r="R62" i="2"/>
  <c r="P62" i="2"/>
  <c r="N62" i="2"/>
  <c r="P16" i="2"/>
  <c r="N16" i="2"/>
  <c r="L16" i="2"/>
  <c r="J16" i="2"/>
  <c r="H16" i="2"/>
  <c r="F16" i="2"/>
  <c r="T14" i="2"/>
  <c r="R14" i="2"/>
  <c r="P14" i="2"/>
  <c r="N14" i="2"/>
  <c r="L14" i="2"/>
  <c r="J14" i="2"/>
  <c r="H14" i="2"/>
  <c r="F14" i="2"/>
  <c r="AB13" i="2"/>
  <c r="Z13" i="2"/>
  <c r="T12" i="2"/>
  <c r="R12" i="2"/>
  <c r="P12" i="2"/>
  <c r="N12" i="2"/>
  <c r="D12" i="2"/>
  <c r="B12" i="2"/>
  <c r="AF11" i="2"/>
  <c r="AD11" i="2"/>
  <c r="AB11" i="2"/>
  <c r="Z11" i="2"/>
  <c r="P10" i="2"/>
  <c r="N10" i="2"/>
  <c r="D10" i="2"/>
  <c r="B10" i="2"/>
  <c r="AF9" i="2"/>
  <c r="AD9" i="2"/>
  <c r="AB9" i="2"/>
  <c r="Z9" i="2"/>
  <c r="X9" i="2"/>
  <c r="V9" i="2"/>
  <c r="AJ8" i="2"/>
  <c r="AH8" i="2"/>
  <c r="L8" i="2"/>
  <c r="J8" i="2"/>
  <c r="H8" i="2"/>
  <c r="F8" i="2"/>
  <c r="AB7" i="2"/>
  <c r="Z7" i="2"/>
  <c r="X7" i="2"/>
  <c r="V7" i="2"/>
  <c r="AJ6" i="2"/>
  <c r="AH6" i="2"/>
  <c r="L6" i="2"/>
  <c r="J6" i="2"/>
  <c r="H6" i="2"/>
  <c r="F6" i="2"/>
  <c r="AF5" i="2"/>
  <c r="AD5" i="2"/>
  <c r="AB5" i="2"/>
  <c r="Z5" i="2"/>
  <c r="T4" i="2"/>
  <c r="R4" i="2"/>
  <c r="P4" i="2"/>
  <c r="N4" i="2"/>
  <c r="AF3" i="2"/>
  <c r="AD3" i="2"/>
  <c r="AB3" i="2"/>
  <c r="Z3" i="2"/>
  <c r="T2" i="2"/>
  <c r="R2" i="2"/>
  <c r="P2" i="2"/>
  <c r="N2" i="2"/>
  <c r="J54" i="2"/>
  <c r="H54" i="2"/>
  <c r="F54" i="2"/>
  <c r="N52" i="2"/>
  <c r="D52" i="2"/>
  <c r="B52" i="2"/>
  <c r="D50" i="2"/>
  <c r="B50" i="2"/>
  <c r="AJ48" i="2"/>
  <c r="AH48" i="2"/>
  <c r="L48" i="2"/>
  <c r="J48" i="2"/>
  <c r="H48" i="2"/>
  <c r="F48" i="2"/>
  <c r="F46" i="2"/>
  <c r="AF45" i="2"/>
  <c r="AD45" i="2"/>
  <c r="AB45" i="2"/>
  <c r="Z45" i="2"/>
  <c r="AJ26" i="2"/>
  <c r="AH26" i="2"/>
  <c r="AF23" i="2"/>
  <c r="AF29" i="2"/>
  <c r="AD29" i="2"/>
  <c r="AD23" i="2"/>
  <c r="AB31" i="2"/>
  <c r="AB27" i="2"/>
  <c r="Z31" i="2"/>
  <c r="Z27" i="2"/>
  <c r="AB23" i="2"/>
  <c r="Z23" i="2"/>
  <c r="X27" i="2"/>
  <c r="V27" i="2"/>
  <c r="T32" i="2"/>
  <c r="F34" i="2"/>
  <c r="F28" i="2"/>
  <c r="F26" i="2"/>
  <c r="J34" i="2"/>
  <c r="J26" i="2"/>
  <c r="N34" i="2"/>
  <c r="N30" i="2"/>
  <c r="N22" i="2"/>
  <c r="R22" i="2"/>
  <c r="R32" i="2"/>
  <c r="T22" i="2"/>
  <c r="P34" i="2"/>
  <c r="P30" i="2"/>
  <c r="P22" i="2"/>
  <c r="L34" i="2"/>
  <c r="L26" i="2"/>
  <c r="H34" i="2"/>
  <c r="D32" i="2"/>
  <c r="D30" i="2"/>
  <c r="B32" i="2"/>
  <c r="B30" i="2"/>
  <c r="H26" i="2"/>
</calcChain>
</file>

<file path=xl/sharedStrings.xml><?xml version="1.0" encoding="utf-8"?>
<sst xmlns="http://schemas.openxmlformats.org/spreadsheetml/2006/main" count="345" uniqueCount="53">
  <si>
    <t>332000kr</t>
  </si>
  <si>
    <t>Sum</t>
  </si>
  <si>
    <t>1200kr</t>
  </si>
  <si>
    <t>2000kr</t>
  </si>
  <si>
    <t>M, P</t>
  </si>
  <si>
    <t>Q</t>
  </si>
  <si>
    <t>5500kr</t>
  </si>
  <si>
    <t>15000kr</t>
  </si>
  <si>
    <t>N, O</t>
  </si>
  <si>
    <t>P</t>
  </si>
  <si>
    <t>8500kr</t>
  </si>
  <si>
    <t>K</t>
  </si>
  <si>
    <t>O</t>
  </si>
  <si>
    <t>N</t>
  </si>
  <si>
    <t>21000kr</t>
  </si>
  <si>
    <t>L</t>
  </si>
  <si>
    <t>M</t>
  </si>
  <si>
    <t>85000kr</t>
  </si>
  <si>
    <t>I, J</t>
  </si>
  <si>
    <t>G, H</t>
  </si>
  <si>
    <t>J</t>
  </si>
  <si>
    <t>1400kr</t>
  </si>
  <si>
    <t>F</t>
  </si>
  <si>
    <t>I</t>
  </si>
  <si>
    <t>1750kr</t>
  </si>
  <si>
    <t>E</t>
  </si>
  <si>
    <t>H</t>
  </si>
  <si>
    <t>22000kr</t>
  </si>
  <si>
    <t>C</t>
  </si>
  <si>
    <t>G</t>
  </si>
  <si>
    <t>38000kr</t>
  </si>
  <si>
    <t>19000kr</t>
  </si>
  <si>
    <t>D</t>
  </si>
  <si>
    <t>4000kr</t>
  </si>
  <si>
    <t>A</t>
  </si>
  <si>
    <t>B</t>
  </si>
  <si>
    <t>17000kr</t>
  </si>
  <si>
    <t>14500kr</t>
  </si>
  <si>
    <t>-</t>
  </si>
  <si>
    <t>Cost per hour to shorten the time</t>
  </si>
  <si>
    <t>Cost (normal)</t>
  </si>
  <si>
    <t xml:space="preserve">Shortest time the activity can be performed in </t>
  </si>
  <si>
    <t>Duration hours (normal)</t>
  </si>
  <si>
    <t>Dependent</t>
  </si>
  <si>
    <t>Activity</t>
  </si>
  <si>
    <t>p</t>
  </si>
  <si>
    <t>Normal</t>
  </si>
  <si>
    <t>Shortest</t>
  </si>
  <si>
    <t>30hrs</t>
  </si>
  <si>
    <t>Duration hours 
(normal)</t>
  </si>
  <si>
    <t>Cost 
(normal)</t>
  </si>
  <si>
    <t>Duration hours
(shortest)</t>
  </si>
  <si>
    <t>Cost per hour to 
shorten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</si>
</sst>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7398</xdr:colOff>
      <xdr:row>1</xdr:row>
      <xdr:rowOff>7398</xdr:rowOff>
    </xdr:from>
    <xdr:to>
      <xdr:col>8</xdr:col>
      <xdr:colOff>262374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7C596A-D498-032A-CE10-A340327AF05B}"/>
            </a:ext>
          </a:extLst>
        </xdr:cNvPr>
        <xdr:cNvSpPr/>
      </xdr:nvSpPr>
      <xdr:spPr>
        <a:xfrm>
          <a:off x="5101354" y="741486"/>
          <a:ext cx="908119" cy="1768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262375</xdr:colOff>
      <xdr:row>2</xdr:row>
      <xdr:rowOff>4439</xdr:rowOff>
    </xdr:from>
    <xdr:to>
      <xdr:col>12</xdr:col>
      <xdr:colOff>0</xdr:colOff>
      <xdr:row>2</xdr:row>
      <xdr:rowOff>181992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845A7F5-0134-4894-A104-E963FAF87361}"/>
            </a:ext>
          </a:extLst>
        </xdr:cNvPr>
        <xdr:cNvSpPr/>
      </xdr:nvSpPr>
      <xdr:spPr>
        <a:xfrm>
          <a:off x="6018516" y="916693"/>
          <a:ext cx="1054132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328751</xdr:colOff>
      <xdr:row>3</xdr:row>
      <xdr:rowOff>4061</xdr:rowOff>
    </xdr:from>
    <xdr:to>
      <xdr:col>13</xdr:col>
      <xdr:colOff>225379</xdr:colOff>
      <xdr:row>3</xdr:row>
      <xdr:rowOff>181614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AB4A90-3E34-4761-B48E-BAA5CCAD0A97}"/>
            </a:ext>
          </a:extLst>
        </xdr:cNvPr>
        <xdr:cNvSpPr/>
      </xdr:nvSpPr>
      <xdr:spPr>
        <a:xfrm>
          <a:off x="7072272" y="1098765"/>
          <a:ext cx="554882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265166</xdr:colOff>
      <xdr:row>4</xdr:row>
      <xdr:rowOff>5237</xdr:rowOff>
    </xdr:from>
    <xdr:to>
      <xdr:col>9</xdr:col>
      <xdr:colOff>221802</xdr:colOff>
      <xdr:row>5</xdr:row>
      <xdr:rowOff>339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134C34-8B1D-4C72-B5FA-EA4B61D6DCB6}"/>
            </a:ext>
          </a:extLst>
        </xdr:cNvPr>
        <xdr:cNvSpPr/>
      </xdr:nvSpPr>
      <xdr:spPr>
        <a:xfrm>
          <a:off x="6021307" y="1282392"/>
          <a:ext cx="285763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223322</xdr:colOff>
      <xdr:row>5</xdr:row>
      <xdr:rowOff>4118</xdr:rowOff>
    </xdr:from>
    <xdr:to>
      <xdr:col>13</xdr:col>
      <xdr:colOff>63855</xdr:colOff>
      <xdr:row>5</xdr:row>
      <xdr:rowOff>181671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823CECE-F7DF-44A6-A3CC-B7F8333E27CB}"/>
            </a:ext>
          </a:extLst>
        </xdr:cNvPr>
        <xdr:cNvSpPr/>
      </xdr:nvSpPr>
      <xdr:spPr>
        <a:xfrm>
          <a:off x="5650976" y="1285470"/>
          <a:ext cx="1151683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224991</xdr:colOff>
      <xdr:row>6</xdr:row>
      <xdr:rowOff>2999</xdr:rowOff>
    </xdr:from>
    <xdr:to>
      <xdr:col>20</xdr:col>
      <xdr:colOff>271887</xdr:colOff>
      <xdr:row>6</xdr:row>
      <xdr:rowOff>180552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62075BF-2AC1-4302-90FD-F5C9B8F76EEC}"/>
            </a:ext>
          </a:extLst>
        </xdr:cNvPr>
        <xdr:cNvSpPr/>
      </xdr:nvSpPr>
      <xdr:spPr>
        <a:xfrm>
          <a:off x="7626766" y="1645055"/>
          <a:ext cx="2350783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223617</xdr:colOff>
      <xdr:row>7</xdr:row>
      <xdr:rowOff>1819</xdr:rowOff>
    </xdr:from>
    <xdr:to>
      <xdr:col>17</xdr:col>
      <xdr:colOff>218226</xdr:colOff>
      <xdr:row>7</xdr:row>
      <xdr:rowOff>179372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96DBC3D-FCF7-40FC-BCF9-7CFEFAD3A3D9}"/>
            </a:ext>
          </a:extLst>
        </xdr:cNvPr>
        <xdr:cNvSpPr/>
      </xdr:nvSpPr>
      <xdr:spPr>
        <a:xfrm>
          <a:off x="7625392" y="1826326"/>
          <a:ext cx="1311116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67680</xdr:colOff>
      <xdr:row>8</xdr:row>
      <xdr:rowOff>3965</xdr:rowOff>
    </xdr:from>
    <xdr:to>
      <xdr:col>16</xdr:col>
      <xdr:colOff>0</xdr:colOff>
      <xdr:row>8</xdr:row>
      <xdr:rowOff>181518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A2BCFDE-9B28-4B32-85E2-5CA208CC0C31}"/>
            </a:ext>
          </a:extLst>
        </xdr:cNvPr>
        <xdr:cNvSpPr/>
      </xdr:nvSpPr>
      <xdr:spPr>
        <a:xfrm>
          <a:off x="6806484" y="1834468"/>
          <a:ext cx="915684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281574</xdr:colOff>
      <xdr:row>9</xdr:row>
      <xdr:rowOff>6111</xdr:rowOff>
    </xdr:from>
    <xdr:to>
      <xdr:col>23</xdr:col>
      <xdr:colOff>209638</xdr:colOff>
      <xdr:row>10</xdr:row>
      <xdr:rowOff>1213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98224FB-B560-43B5-BCDB-0B520F73DB32}"/>
            </a:ext>
          </a:extLst>
        </xdr:cNvPr>
        <xdr:cNvSpPr/>
      </xdr:nvSpPr>
      <xdr:spPr>
        <a:xfrm>
          <a:off x="9987236" y="2195519"/>
          <a:ext cx="915444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219326</xdr:colOff>
      <xdr:row>10</xdr:row>
      <xdr:rowOff>4679</xdr:rowOff>
    </xdr:from>
    <xdr:to>
      <xdr:col>20</xdr:col>
      <xdr:colOff>218225</xdr:colOff>
      <xdr:row>10</xdr:row>
      <xdr:rowOff>182232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7118D40-5B6E-4DD2-B759-DD96FAAFB9AC}"/>
            </a:ext>
          </a:extLst>
        </xdr:cNvPr>
        <xdr:cNvSpPr/>
      </xdr:nvSpPr>
      <xdr:spPr>
        <a:xfrm>
          <a:off x="8937608" y="2376538"/>
          <a:ext cx="986279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217894</xdr:colOff>
      <xdr:row>11</xdr:row>
      <xdr:rowOff>3248</xdr:rowOff>
    </xdr:from>
    <xdr:to>
      <xdr:col>39</xdr:col>
      <xdr:colOff>212981</xdr:colOff>
      <xdr:row>11</xdr:row>
      <xdr:rowOff>180801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4B6534B-172C-4502-A760-4FE306B36D98}"/>
            </a:ext>
          </a:extLst>
        </xdr:cNvPr>
        <xdr:cNvSpPr/>
      </xdr:nvSpPr>
      <xdr:spPr>
        <a:xfrm>
          <a:off x="10199621" y="2398105"/>
          <a:ext cx="5220230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212759</xdr:colOff>
      <xdr:row>12</xdr:row>
      <xdr:rowOff>1424</xdr:rowOff>
    </xdr:from>
    <xdr:to>
      <xdr:col>43</xdr:col>
      <xdr:colOff>212849</xdr:colOff>
      <xdr:row>12</xdr:row>
      <xdr:rowOff>178977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F7D0063-2342-4047-913F-777EF2D41947}"/>
            </a:ext>
          </a:extLst>
        </xdr:cNvPr>
        <xdr:cNvSpPr/>
      </xdr:nvSpPr>
      <xdr:spPr>
        <a:xfrm>
          <a:off x="15474044" y="2564128"/>
          <a:ext cx="1311241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211908</xdr:colOff>
      <xdr:row>14</xdr:row>
      <xdr:rowOff>4831</xdr:rowOff>
    </xdr:from>
    <xdr:to>
      <xdr:col>40</xdr:col>
      <xdr:colOff>217106</xdr:colOff>
      <xdr:row>14</xdr:row>
      <xdr:rowOff>182384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A22B507-6C50-4055-A867-857ACDC4E8C5}"/>
            </a:ext>
          </a:extLst>
        </xdr:cNvPr>
        <xdr:cNvSpPr/>
      </xdr:nvSpPr>
      <xdr:spPr>
        <a:xfrm>
          <a:off x="15473193" y="2933635"/>
          <a:ext cx="332986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211056</xdr:colOff>
      <xdr:row>15</xdr:row>
      <xdr:rowOff>3979</xdr:rowOff>
    </xdr:from>
    <xdr:to>
      <xdr:col>41</xdr:col>
      <xdr:colOff>59598</xdr:colOff>
      <xdr:row>15</xdr:row>
      <xdr:rowOff>181532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E1BEB5D-F65C-48FA-A19D-066E60B1D949}"/>
            </a:ext>
          </a:extLst>
        </xdr:cNvPr>
        <xdr:cNvSpPr/>
      </xdr:nvSpPr>
      <xdr:spPr>
        <a:xfrm>
          <a:off x="15472341" y="3115834"/>
          <a:ext cx="504117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211912</xdr:colOff>
      <xdr:row>13</xdr:row>
      <xdr:rowOff>9087</xdr:rowOff>
    </xdr:from>
    <xdr:to>
      <xdr:col>47</xdr:col>
      <xdr:colOff>212002</xdr:colOff>
      <xdr:row>14</xdr:row>
      <xdr:rowOff>3590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EE49788-3A14-4B3D-A863-6E5D80A1E41E}"/>
            </a:ext>
          </a:extLst>
        </xdr:cNvPr>
        <xdr:cNvSpPr/>
      </xdr:nvSpPr>
      <xdr:spPr>
        <a:xfrm>
          <a:off x="16784348" y="2754841"/>
          <a:ext cx="1311241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63918</xdr:colOff>
      <xdr:row>16</xdr:row>
      <xdr:rowOff>3980</xdr:rowOff>
    </xdr:from>
    <xdr:to>
      <xdr:col>44</xdr:col>
      <xdr:colOff>133821</xdr:colOff>
      <xdr:row>17</xdr:row>
      <xdr:rowOff>104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BE12299-C71D-4118-B0FA-236B68F8F573}"/>
            </a:ext>
          </a:extLst>
        </xdr:cNvPr>
        <xdr:cNvSpPr/>
      </xdr:nvSpPr>
      <xdr:spPr>
        <a:xfrm>
          <a:off x="15941510" y="3274878"/>
          <a:ext cx="1049617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218720</xdr:colOff>
      <xdr:row>17</xdr:row>
      <xdr:rowOff>3131</xdr:rowOff>
    </xdr:from>
    <xdr:to>
      <xdr:col>47</xdr:col>
      <xdr:colOff>323530</xdr:colOff>
      <xdr:row>17</xdr:row>
      <xdr:rowOff>180684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2724772-33EA-40A1-A378-BC1C79B2A278}"/>
            </a:ext>
          </a:extLst>
        </xdr:cNvPr>
        <xdr:cNvSpPr/>
      </xdr:nvSpPr>
      <xdr:spPr>
        <a:xfrm>
          <a:off x="18102307" y="3481086"/>
          <a:ext cx="104810" cy="1775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6804</xdr:colOff>
      <xdr:row>28</xdr:row>
      <xdr:rowOff>314</xdr:rowOff>
    </xdr:from>
    <xdr:to>
      <xdr:col>4</xdr:col>
      <xdr:colOff>255776</xdr:colOff>
      <xdr:row>29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173BE05-A04F-2316-D0B1-17B0C9718ADC}"/>
            </a:ext>
          </a:extLst>
        </xdr:cNvPr>
        <xdr:cNvCxnSpPr/>
      </xdr:nvCxnSpPr>
      <xdr:spPr>
        <a:xfrm flipV="1">
          <a:off x="800776" y="1289538"/>
          <a:ext cx="248972" cy="1918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31</xdr:row>
      <xdr:rowOff>186504</xdr:rowOff>
    </xdr:from>
    <xdr:to>
      <xdr:col>5</xdr:col>
      <xdr:colOff>5329</xdr:colOff>
      <xdr:row>33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99A1729-076D-1CD1-4891-436DCFE2A4D3}"/>
            </a:ext>
          </a:extLst>
        </xdr:cNvPr>
        <xdr:cNvCxnSpPr/>
      </xdr:nvCxnSpPr>
      <xdr:spPr>
        <a:xfrm>
          <a:off x="799301" y="2030224"/>
          <a:ext cx="261105" cy="1971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26</xdr:row>
      <xdr:rowOff>85259</xdr:rowOff>
    </xdr:from>
    <xdr:to>
      <xdr:col>9</xdr:col>
      <xdr:colOff>5328</xdr:colOff>
      <xdr:row>26</xdr:row>
      <xdr:rowOff>90588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9575533-8389-60FA-96AD-8C0C8C599467}"/>
            </a:ext>
          </a:extLst>
        </xdr:cNvPr>
        <xdr:cNvCxnSpPr/>
      </xdr:nvCxnSpPr>
      <xdr:spPr>
        <a:xfrm>
          <a:off x="1849049" y="1001790"/>
          <a:ext cx="271762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34</xdr:row>
      <xdr:rowOff>90588</xdr:rowOff>
    </xdr:from>
    <xdr:to>
      <xdr:col>9</xdr:col>
      <xdr:colOff>0</xdr:colOff>
      <xdr:row>34</xdr:row>
      <xdr:rowOff>95917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DB342B4-89F6-A85B-F21D-19F759A270D8}"/>
            </a:ext>
          </a:extLst>
        </xdr:cNvPr>
        <xdr:cNvCxnSpPr/>
      </xdr:nvCxnSpPr>
      <xdr:spPr>
        <a:xfrm>
          <a:off x="1843720" y="2499147"/>
          <a:ext cx="271763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23</xdr:row>
      <xdr:rowOff>186503</xdr:rowOff>
    </xdr:from>
    <xdr:to>
      <xdr:col>13</xdr:col>
      <xdr:colOff>5328</xdr:colOff>
      <xdr:row>24</xdr:row>
      <xdr:rowOff>186503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B79A0DF-940D-8B52-1242-267FC904E953}"/>
            </a:ext>
          </a:extLst>
        </xdr:cNvPr>
        <xdr:cNvCxnSpPr/>
      </xdr:nvCxnSpPr>
      <xdr:spPr>
        <a:xfrm flipV="1">
          <a:off x="2920112" y="548853"/>
          <a:ext cx="266433" cy="1918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27</xdr:row>
      <xdr:rowOff>186503</xdr:rowOff>
    </xdr:from>
    <xdr:to>
      <xdr:col>12</xdr:col>
      <xdr:colOff>255776</xdr:colOff>
      <xdr:row>29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610C570-200F-0A10-B048-A386A0469BBE}"/>
            </a:ext>
          </a:extLst>
        </xdr:cNvPr>
        <xdr:cNvCxnSpPr/>
      </xdr:nvCxnSpPr>
      <xdr:spPr>
        <a:xfrm>
          <a:off x="2914783" y="1294867"/>
          <a:ext cx="261105" cy="1971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34</xdr:row>
      <xdr:rowOff>95916</xdr:rowOff>
    </xdr:from>
    <xdr:to>
      <xdr:col>13</xdr:col>
      <xdr:colOff>0</xdr:colOff>
      <xdr:row>34</xdr:row>
      <xdr:rowOff>101245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9BD1DFE-4B6D-DA84-253B-306E90D9D3B2}"/>
            </a:ext>
          </a:extLst>
        </xdr:cNvPr>
        <xdr:cNvCxnSpPr/>
      </xdr:nvCxnSpPr>
      <xdr:spPr>
        <a:xfrm>
          <a:off x="2920112" y="2515133"/>
          <a:ext cx="261105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30</xdr:row>
      <xdr:rowOff>82378</xdr:rowOff>
    </xdr:from>
    <xdr:to>
      <xdr:col>17</xdr:col>
      <xdr:colOff>6865</xdr:colOff>
      <xdr:row>31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AEDC0DA-769C-E34A-95CB-890DDD8348C5}"/>
            </a:ext>
          </a:extLst>
        </xdr:cNvPr>
        <xdr:cNvCxnSpPr/>
      </xdr:nvCxnSpPr>
      <xdr:spPr>
        <a:xfrm>
          <a:off x="4263081" y="1990810"/>
          <a:ext cx="281460" cy="1098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34</xdr:row>
      <xdr:rowOff>0</xdr:rowOff>
    </xdr:from>
    <xdr:to>
      <xdr:col>17</xdr:col>
      <xdr:colOff>0</xdr:colOff>
      <xdr:row>34</xdr:row>
      <xdr:rowOff>89243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68734FE-7C57-2F2D-D547-A75D99614EC8}"/>
            </a:ext>
          </a:extLst>
        </xdr:cNvPr>
        <xdr:cNvCxnSpPr/>
      </xdr:nvCxnSpPr>
      <xdr:spPr>
        <a:xfrm flipV="1">
          <a:off x="4256216" y="2677297"/>
          <a:ext cx="281460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22</xdr:row>
      <xdr:rowOff>89243</xdr:rowOff>
    </xdr:from>
    <xdr:to>
      <xdr:col>17</xdr:col>
      <xdr:colOff>0</xdr:colOff>
      <xdr:row>22</xdr:row>
      <xdr:rowOff>89243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377FB90-CA83-2109-D973-586BB3CFED1D}"/>
            </a:ext>
          </a:extLst>
        </xdr:cNvPr>
        <xdr:cNvCxnSpPr/>
      </xdr:nvCxnSpPr>
      <xdr:spPr>
        <a:xfrm>
          <a:off x="4256216" y="466811"/>
          <a:ext cx="28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185351</xdr:rowOff>
    </xdr:from>
    <xdr:to>
      <xdr:col>21</xdr:col>
      <xdr:colOff>6865</xdr:colOff>
      <xdr:row>26</xdr:row>
      <xdr:rowOff>6865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A0AE2AD-9B0F-573A-845E-E68817251D62}"/>
            </a:ext>
          </a:extLst>
        </xdr:cNvPr>
        <xdr:cNvCxnSpPr/>
      </xdr:nvCxnSpPr>
      <xdr:spPr>
        <a:xfrm>
          <a:off x="5347730" y="755135"/>
          <a:ext cx="295189" cy="3981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0</xdr:colOff>
      <xdr:row>31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64422CC7-D509-A683-392F-005A04AD0AA2}"/>
            </a:ext>
          </a:extLst>
        </xdr:cNvPr>
        <xdr:cNvCxnSpPr/>
      </xdr:nvCxnSpPr>
      <xdr:spPr>
        <a:xfrm flipV="1">
          <a:off x="5347730" y="1716216"/>
          <a:ext cx="288324" cy="38443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25</xdr:row>
      <xdr:rowOff>0</xdr:rowOff>
    </xdr:from>
    <xdr:to>
      <xdr:col>25</xdr:col>
      <xdr:colOff>0</xdr:colOff>
      <xdr:row>26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FB43AA02-7343-9023-DA36-1B34A833A5BA}"/>
            </a:ext>
          </a:extLst>
        </xdr:cNvPr>
        <xdr:cNvCxnSpPr/>
      </xdr:nvCxnSpPr>
      <xdr:spPr>
        <a:xfrm flipV="1">
          <a:off x="6487297" y="954216"/>
          <a:ext cx="288325" cy="1922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27</xdr:row>
      <xdr:rowOff>102973</xdr:rowOff>
    </xdr:from>
    <xdr:to>
      <xdr:col>24</xdr:col>
      <xdr:colOff>281460</xdr:colOff>
      <xdr:row>27</xdr:row>
      <xdr:rowOff>102973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B785C58D-909C-B1CA-D187-BAE7CB863614}"/>
            </a:ext>
          </a:extLst>
        </xdr:cNvPr>
        <xdr:cNvCxnSpPr/>
      </xdr:nvCxnSpPr>
      <xdr:spPr>
        <a:xfrm>
          <a:off x="6487297" y="1434757"/>
          <a:ext cx="28146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29</xdr:row>
      <xdr:rowOff>0</xdr:rowOff>
    </xdr:from>
    <xdr:to>
      <xdr:col>25</xdr:col>
      <xdr:colOff>0</xdr:colOff>
      <xdr:row>30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E065C58-071C-DE7A-1AF4-AED4C73BBDAC}"/>
            </a:ext>
          </a:extLst>
        </xdr:cNvPr>
        <xdr:cNvCxnSpPr/>
      </xdr:nvCxnSpPr>
      <xdr:spPr>
        <a:xfrm>
          <a:off x="6487297" y="1716216"/>
          <a:ext cx="288325" cy="19221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23</xdr:row>
      <xdr:rowOff>96108</xdr:rowOff>
    </xdr:from>
    <xdr:to>
      <xdr:col>29</xdr:col>
      <xdr:colOff>0</xdr:colOff>
      <xdr:row>23</xdr:row>
      <xdr:rowOff>102973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AE90822-0F54-37A5-F1BD-96EAF7B0AED8}"/>
            </a:ext>
          </a:extLst>
        </xdr:cNvPr>
        <xdr:cNvCxnSpPr/>
      </xdr:nvCxnSpPr>
      <xdr:spPr>
        <a:xfrm>
          <a:off x="7578811" y="665892"/>
          <a:ext cx="281459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27</xdr:row>
      <xdr:rowOff>96108</xdr:rowOff>
    </xdr:from>
    <xdr:to>
      <xdr:col>29</xdr:col>
      <xdr:colOff>0</xdr:colOff>
      <xdr:row>28</xdr:row>
      <xdr:rowOff>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19E2CC46-E4D5-8D48-0985-BCC87336E507}"/>
            </a:ext>
          </a:extLst>
        </xdr:cNvPr>
        <xdr:cNvCxnSpPr/>
      </xdr:nvCxnSpPr>
      <xdr:spPr>
        <a:xfrm>
          <a:off x="7585676" y="1427892"/>
          <a:ext cx="274594" cy="9610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0</xdr:colOff>
      <xdr:row>31</xdr:row>
      <xdr:rowOff>102973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067A55F-716B-5B64-529A-DD91255F9505}"/>
            </a:ext>
          </a:extLst>
        </xdr:cNvPr>
        <xdr:cNvCxnSpPr/>
      </xdr:nvCxnSpPr>
      <xdr:spPr>
        <a:xfrm flipV="1">
          <a:off x="7585676" y="2100649"/>
          <a:ext cx="274594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23</xdr:row>
      <xdr:rowOff>102973</xdr:rowOff>
    </xdr:from>
    <xdr:to>
      <xdr:col>33</xdr:col>
      <xdr:colOff>0</xdr:colOff>
      <xdr:row>25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F2B8E952-CDA8-9498-A0A9-1A2BFEB31838}"/>
            </a:ext>
          </a:extLst>
        </xdr:cNvPr>
        <xdr:cNvCxnSpPr/>
      </xdr:nvCxnSpPr>
      <xdr:spPr>
        <a:xfrm>
          <a:off x="8656595" y="672757"/>
          <a:ext cx="274594" cy="2814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28</xdr:row>
      <xdr:rowOff>0</xdr:rowOff>
    </xdr:from>
    <xdr:to>
      <xdr:col>33</xdr:col>
      <xdr:colOff>0</xdr:colOff>
      <xdr:row>29</xdr:row>
      <xdr:rowOff>102973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5C929773-8711-3A3A-945D-50083D839C75}"/>
            </a:ext>
          </a:extLst>
        </xdr:cNvPr>
        <xdr:cNvCxnSpPr/>
      </xdr:nvCxnSpPr>
      <xdr:spPr>
        <a:xfrm flipV="1">
          <a:off x="8656595" y="1524000"/>
          <a:ext cx="274594" cy="29518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47</xdr:row>
      <xdr:rowOff>191832</xdr:rowOff>
    </xdr:from>
    <xdr:to>
      <xdr:col>4</xdr:col>
      <xdr:colOff>255776</xdr:colOff>
      <xdr:row>49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B95919E-C998-41BE-AED5-BB922DF27841}"/>
            </a:ext>
          </a:extLst>
        </xdr:cNvPr>
        <xdr:cNvCxnSpPr/>
      </xdr:nvCxnSpPr>
      <xdr:spPr>
        <a:xfrm flipV="1">
          <a:off x="1055791" y="1488222"/>
          <a:ext cx="248972" cy="184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51</xdr:row>
      <xdr:rowOff>186504</xdr:rowOff>
    </xdr:from>
    <xdr:to>
      <xdr:col>5</xdr:col>
      <xdr:colOff>5329</xdr:colOff>
      <xdr:row>53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84CFBFB-87ED-4BD7-BA86-A5170F8BE334}"/>
            </a:ext>
          </a:extLst>
        </xdr:cNvPr>
        <xdr:cNvCxnSpPr/>
      </xdr:nvCxnSpPr>
      <xdr:spPr>
        <a:xfrm>
          <a:off x="1054316" y="2234998"/>
          <a:ext cx="267195" cy="1895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46</xdr:row>
      <xdr:rowOff>85259</xdr:rowOff>
    </xdr:from>
    <xdr:to>
      <xdr:col>9</xdr:col>
      <xdr:colOff>5328</xdr:colOff>
      <xdr:row>46</xdr:row>
      <xdr:rowOff>90588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90974A05-FCA1-45F5-9CD5-C5D0C4D932DE}"/>
            </a:ext>
          </a:extLst>
        </xdr:cNvPr>
        <xdr:cNvCxnSpPr/>
      </xdr:nvCxnSpPr>
      <xdr:spPr>
        <a:xfrm>
          <a:off x="2109385" y="1203519"/>
          <a:ext cx="280904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54</xdr:row>
      <xdr:rowOff>90588</xdr:rowOff>
    </xdr:from>
    <xdr:to>
      <xdr:col>9</xdr:col>
      <xdr:colOff>0</xdr:colOff>
      <xdr:row>54</xdr:row>
      <xdr:rowOff>95917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BBD38E5C-0AD2-4852-ADB5-38F846435B72}"/>
            </a:ext>
          </a:extLst>
        </xdr:cNvPr>
        <xdr:cNvCxnSpPr/>
      </xdr:nvCxnSpPr>
      <xdr:spPr>
        <a:xfrm>
          <a:off x="2111676" y="2703159"/>
          <a:ext cx="273285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186503</xdr:rowOff>
    </xdr:from>
    <xdr:to>
      <xdr:col>13</xdr:col>
      <xdr:colOff>5328</xdr:colOff>
      <xdr:row>44</xdr:row>
      <xdr:rowOff>186503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9BE59A46-175C-4BDD-9EB9-151C36EDB4C7}"/>
            </a:ext>
          </a:extLst>
        </xdr:cNvPr>
        <xdr:cNvCxnSpPr/>
      </xdr:nvCxnSpPr>
      <xdr:spPr>
        <a:xfrm flipV="1">
          <a:off x="3176649" y="740685"/>
          <a:ext cx="282419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47</xdr:row>
      <xdr:rowOff>186503</xdr:rowOff>
    </xdr:from>
    <xdr:to>
      <xdr:col>12</xdr:col>
      <xdr:colOff>255776</xdr:colOff>
      <xdr:row>49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F7A54A84-F910-4F7A-8863-66A83F6D6EAF}"/>
            </a:ext>
          </a:extLst>
        </xdr:cNvPr>
        <xdr:cNvCxnSpPr/>
      </xdr:nvCxnSpPr>
      <xdr:spPr>
        <a:xfrm>
          <a:off x="3178164" y="1482893"/>
          <a:ext cx="254261" cy="189549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95916</xdr:rowOff>
    </xdr:from>
    <xdr:to>
      <xdr:col>13</xdr:col>
      <xdr:colOff>0</xdr:colOff>
      <xdr:row>54</xdr:row>
      <xdr:rowOff>101245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A718363A-E3CB-43FE-B8E8-EB4086375621}"/>
            </a:ext>
          </a:extLst>
        </xdr:cNvPr>
        <xdr:cNvCxnSpPr/>
      </xdr:nvCxnSpPr>
      <xdr:spPr>
        <a:xfrm>
          <a:off x="3176649" y="2708487"/>
          <a:ext cx="277091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50</xdr:row>
      <xdr:rowOff>82378</xdr:rowOff>
    </xdr:from>
    <xdr:to>
      <xdr:col>17</xdr:col>
      <xdr:colOff>6865</xdr:colOff>
      <xdr:row>51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60886D79-2FC5-481E-8B8E-227737785486}"/>
            </a:ext>
          </a:extLst>
        </xdr:cNvPr>
        <xdr:cNvCxnSpPr/>
      </xdr:nvCxnSpPr>
      <xdr:spPr>
        <a:xfrm>
          <a:off x="4245429" y="1942846"/>
          <a:ext cx="283955" cy="105648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54</xdr:row>
      <xdr:rowOff>0</xdr:rowOff>
    </xdr:from>
    <xdr:to>
      <xdr:col>17</xdr:col>
      <xdr:colOff>0</xdr:colOff>
      <xdr:row>54</xdr:row>
      <xdr:rowOff>89243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FDC6599-633A-4AE8-B8BE-67444A8B2543}"/>
            </a:ext>
          </a:extLst>
        </xdr:cNvPr>
        <xdr:cNvCxnSpPr/>
      </xdr:nvCxnSpPr>
      <xdr:spPr>
        <a:xfrm flipV="1">
          <a:off x="4242130" y="2612571"/>
          <a:ext cx="280389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42</xdr:row>
      <xdr:rowOff>89243</xdr:rowOff>
    </xdr:from>
    <xdr:to>
      <xdr:col>17</xdr:col>
      <xdr:colOff>0</xdr:colOff>
      <xdr:row>42</xdr:row>
      <xdr:rowOff>89243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C4DAA6A6-96A1-480C-AE73-ADBAC6AA622B}"/>
            </a:ext>
          </a:extLst>
        </xdr:cNvPr>
        <xdr:cNvCxnSpPr/>
      </xdr:nvCxnSpPr>
      <xdr:spPr>
        <a:xfrm>
          <a:off x="4242130" y="465295"/>
          <a:ext cx="28038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185351</xdr:rowOff>
    </xdr:from>
    <xdr:to>
      <xdr:col>21</xdr:col>
      <xdr:colOff>6865</xdr:colOff>
      <xdr:row>46</xdr:row>
      <xdr:rowOff>6865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DC2D12D-24D1-49AF-A2D4-074405221222}"/>
            </a:ext>
          </a:extLst>
        </xdr:cNvPr>
        <xdr:cNvCxnSpPr/>
      </xdr:nvCxnSpPr>
      <xdr:spPr>
        <a:xfrm>
          <a:off x="5324104" y="739533"/>
          <a:ext cx="293852" cy="3855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49</xdr:row>
      <xdr:rowOff>0</xdr:rowOff>
    </xdr:from>
    <xdr:to>
      <xdr:col>21</xdr:col>
      <xdr:colOff>0</xdr:colOff>
      <xdr:row>51</xdr:row>
      <xdr:rowOff>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F6F66896-43BA-4666-A64C-D85BBB0FF19D}"/>
            </a:ext>
          </a:extLst>
        </xdr:cNvPr>
        <xdr:cNvCxnSpPr/>
      </xdr:nvCxnSpPr>
      <xdr:spPr>
        <a:xfrm flipV="1">
          <a:off x="5324104" y="1672442"/>
          <a:ext cx="286987" cy="376052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45</xdr:row>
      <xdr:rowOff>0</xdr:rowOff>
    </xdr:from>
    <xdr:to>
      <xdr:col>25</xdr:col>
      <xdr:colOff>0</xdr:colOff>
      <xdr:row>46</xdr:row>
      <xdr:rowOff>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C38A882A-F871-494E-8711-A7A2F7E63938}"/>
            </a:ext>
          </a:extLst>
        </xdr:cNvPr>
        <xdr:cNvCxnSpPr/>
      </xdr:nvCxnSpPr>
      <xdr:spPr>
        <a:xfrm flipV="1">
          <a:off x="6452260" y="930234"/>
          <a:ext cx="286987" cy="188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47</xdr:row>
      <xdr:rowOff>102973</xdr:rowOff>
    </xdr:from>
    <xdr:to>
      <xdr:col>24</xdr:col>
      <xdr:colOff>281460</xdr:colOff>
      <xdr:row>47</xdr:row>
      <xdr:rowOff>102973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959B8BBB-F378-4381-92A3-35E5BE323225}"/>
            </a:ext>
          </a:extLst>
        </xdr:cNvPr>
        <xdr:cNvCxnSpPr/>
      </xdr:nvCxnSpPr>
      <xdr:spPr>
        <a:xfrm>
          <a:off x="6452260" y="1399363"/>
          <a:ext cx="28146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49</xdr:row>
      <xdr:rowOff>0</xdr:rowOff>
    </xdr:from>
    <xdr:to>
      <xdr:col>25</xdr:col>
      <xdr:colOff>0</xdr:colOff>
      <xdr:row>50</xdr:row>
      <xdr:rowOff>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AAC4C5DC-BBA3-490D-BFC5-2993FB37ACE8}"/>
            </a:ext>
          </a:extLst>
        </xdr:cNvPr>
        <xdr:cNvCxnSpPr/>
      </xdr:nvCxnSpPr>
      <xdr:spPr>
        <a:xfrm>
          <a:off x="6452260" y="1672442"/>
          <a:ext cx="286987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43</xdr:row>
      <xdr:rowOff>96108</xdr:rowOff>
    </xdr:from>
    <xdr:to>
      <xdr:col>29</xdr:col>
      <xdr:colOff>0</xdr:colOff>
      <xdr:row>43</xdr:row>
      <xdr:rowOff>102973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A817AD60-8938-41EE-86E7-6C1E9E967B79}"/>
            </a:ext>
          </a:extLst>
        </xdr:cNvPr>
        <xdr:cNvCxnSpPr/>
      </xdr:nvCxnSpPr>
      <xdr:spPr>
        <a:xfrm>
          <a:off x="7537532" y="650290"/>
          <a:ext cx="280390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47</xdr:row>
      <xdr:rowOff>96108</xdr:rowOff>
    </xdr:from>
    <xdr:to>
      <xdr:col>29</xdr:col>
      <xdr:colOff>0</xdr:colOff>
      <xdr:row>48</xdr:row>
      <xdr:rowOff>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795184EB-86B7-444F-A6BC-547D4429CAEB}"/>
            </a:ext>
          </a:extLst>
        </xdr:cNvPr>
        <xdr:cNvCxnSpPr/>
      </xdr:nvCxnSpPr>
      <xdr:spPr>
        <a:xfrm>
          <a:off x="7540831" y="1392498"/>
          <a:ext cx="277091" cy="9191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51</xdr:row>
      <xdr:rowOff>0</xdr:rowOff>
    </xdr:from>
    <xdr:to>
      <xdr:col>29</xdr:col>
      <xdr:colOff>0</xdr:colOff>
      <xdr:row>51</xdr:row>
      <xdr:rowOff>102973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B04F1AD1-B813-4C1A-80EA-8AC292D8BCE6}"/>
            </a:ext>
          </a:extLst>
        </xdr:cNvPr>
        <xdr:cNvCxnSpPr/>
      </xdr:nvCxnSpPr>
      <xdr:spPr>
        <a:xfrm flipV="1">
          <a:off x="7540831" y="2048494"/>
          <a:ext cx="277091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43</xdr:row>
      <xdr:rowOff>102973</xdr:rowOff>
    </xdr:from>
    <xdr:to>
      <xdr:col>33</xdr:col>
      <xdr:colOff>0</xdr:colOff>
      <xdr:row>45</xdr:row>
      <xdr:rowOff>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DB7EA77B-F5F0-42EC-AEDB-8FFF166EA2B7}"/>
            </a:ext>
          </a:extLst>
        </xdr:cNvPr>
        <xdr:cNvCxnSpPr/>
      </xdr:nvCxnSpPr>
      <xdr:spPr>
        <a:xfrm>
          <a:off x="8609610" y="657155"/>
          <a:ext cx="277091" cy="2730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48</xdr:row>
      <xdr:rowOff>0</xdr:rowOff>
    </xdr:from>
    <xdr:to>
      <xdr:col>33</xdr:col>
      <xdr:colOff>0</xdr:colOff>
      <xdr:row>49</xdr:row>
      <xdr:rowOff>102973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9CD96AD5-3DE5-4329-8FAE-FC6947941AAF}"/>
            </a:ext>
          </a:extLst>
        </xdr:cNvPr>
        <xdr:cNvCxnSpPr/>
      </xdr:nvCxnSpPr>
      <xdr:spPr>
        <a:xfrm flipV="1">
          <a:off x="8609610" y="1484416"/>
          <a:ext cx="277091" cy="2909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7</xdr:row>
      <xdr:rowOff>191832</xdr:rowOff>
    </xdr:from>
    <xdr:to>
      <xdr:col>4</xdr:col>
      <xdr:colOff>255776</xdr:colOff>
      <xdr:row>9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CB47305-A2B9-498A-9F96-141CDD4FB851}"/>
            </a:ext>
          </a:extLst>
        </xdr:cNvPr>
        <xdr:cNvCxnSpPr/>
      </xdr:nvCxnSpPr>
      <xdr:spPr>
        <a:xfrm flipV="1">
          <a:off x="1055791" y="5001338"/>
          <a:ext cx="248972" cy="1842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11</xdr:row>
      <xdr:rowOff>186504</xdr:rowOff>
    </xdr:from>
    <xdr:to>
      <xdr:col>5</xdr:col>
      <xdr:colOff>5329</xdr:colOff>
      <xdr:row>13</xdr:row>
      <xdr:rowOff>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AD0DB744-948F-4358-9856-D41B6BC8A782}"/>
            </a:ext>
          </a:extLst>
        </xdr:cNvPr>
        <xdr:cNvCxnSpPr/>
      </xdr:nvCxnSpPr>
      <xdr:spPr>
        <a:xfrm>
          <a:off x="1054316" y="5748114"/>
          <a:ext cx="267195" cy="18954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6</xdr:row>
      <xdr:rowOff>85259</xdr:rowOff>
    </xdr:from>
    <xdr:to>
      <xdr:col>9</xdr:col>
      <xdr:colOff>5328</xdr:colOff>
      <xdr:row>6</xdr:row>
      <xdr:rowOff>90588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D4E9FC1F-7E03-400E-9DC5-4FC76133D71F}"/>
            </a:ext>
          </a:extLst>
        </xdr:cNvPr>
        <xdr:cNvCxnSpPr/>
      </xdr:nvCxnSpPr>
      <xdr:spPr>
        <a:xfrm>
          <a:off x="2109385" y="4716636"/>
          <a:ext cx="280904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14</xdr:row>
      <xdr:rowOff>90588</xdr:rowOff>
    </xdr:from>
    <xdr:to>
      <xdr:col>9</xdr:col>
      <xdr:colOff>0</xdr:colOff>
      <xdr:row>14</xdr:row>
      <xdr:rowOff>95917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ECDC900A-01C5-4CE1-93DC-47C54AD49B54}"/>
            </a:ext>
          </a:extLst>
        </xdr:cNvPr>
        <xdr:cNvCxnSpPr/>
      </xdr:nvCxnSpPr>
      <xdr:spPr>
        <a:xfrm>
          <a:off x="2111676" y="6216276"/>
          <a:ext cx="273285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186503</xdr:rowOff>
    </xdr:from>
    <xdr:to>
      <xdr:col>13</xdr:col>
      <xdr:colOff>5328</xdr:colOff>
      <xdr:row>4</xdr:row>
      <xdr:rowOff>186503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7AAB755-492D-4DC9-BB97-90B4352A16A2}"/>
            </a:ext>
          </a:extLst>
        </xdr:cNvPr>
        <xdr:cNvCxnSpPr/>
      </xdr:nvCxnSpPr>
      <xdr:spPr>
        <a:xfrm flipV="1">
          <a:off x="3176649" y="4253802"/>
          <a:ext cx="282419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7</xdr:row>
      <xdr:rowOff>186503</xdr:rowOff>
    </xdr:from>
    <xdr:to>
      <xdr:col>12</xdr:col>
      <xdr:colOff>255776</xdr:colOff>
      <xdr:row>9</xdr:row>
      <xdr:rowOff>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C9D9CB6B-B9E6-411D-AFE0-423DDD7D1A9E}"/>
            </a:ext>
          </a:extLst>
        </xdr:cNvPr>
        <xdr:cNvCxnSpPr/>
      </xdr:nvCxnSpPr>
      <xdr:spPr>
        <a:xfrm>
          <a:off x="3178164" y="4996009"/>
          <a:ext cx="254261" cy="1895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95916</xdr:rowOff>
    </xdr:from>
    <xdr:to>
      <xdr:col>13</xdr:col>
      <xdr:colOff>0</xdr:colOff>
      <xdr:row>14</xdr:row>
      <xdr:rowOff>101245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F5A1036A-657C-495D-A84F-FBEDC1E2A384}"/>
            </a:ext>
          </a:extLst>
        </xdr:cNvPr>
        <xdr:cNvCxnSpPr/>
      </xdr:nvCxnSpPr>
      <xdr:spPr>
        <a:xfrm>
          <a:off x="3176649" y="6221604"/>
          <a:ext cx="277091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82378</xdr:rowOff>
    </xdr:from>
    <xdr:to>
      <xdr:col>17</xdr:col>
      <xdr:colOff>6865</xdr:colOff>
      <xdr:row>11</xdr:row>
      <xdr:rowOff>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5A0D0A71-5138-44E8-A1F4-A54956347BA0}"/>
            </a:ext>
          </a:extLst>
        </xdr:cNvPr>
        <xdr:cNvCxnSpPr/>
      </xdr:nvCxnSpPr>
      <xdr:spPr>
        <a:xfrm>
          <a:off x="4245429" y="5455962"/>
          <a:ext cx="283955" cy="10564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14</xdr:row>
      <xdr:rowOff>0</xdr:rowOff>
    </xdr:from>
    <xdr:to>
      <xdr:col>17</xdr:col>
      <xdr:colOff>0</xdr:colOff>
      <xdr:row>14</xdr:row>
      <xdr:rowOff>89243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2CC18B3F-EE55-4F84-8B8B-5E5D5DFB8FF4}"/>
            </a:ext>
          </a:extLst>
        </xdr:cNvPr>
        <xdr:cNvCxnSpPr/>
      </xdr:nvCxnSpPr>
      <xdr:spPr>
        <a:xfrm flipV="1">
          <a:off x="4242130" y="6125688"/>
          <a:ext cx="280389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2</xdr:row>
      <xdr:rowOff>89243</xdr:rowOff>
    </xdr:from>
    <xdr:to>
      <xdr:col>17</xdr:col>
      <xdr:colOff>0</xdr:colOff>
      <xdr:row>2</xdr:row>
      <xdr:rowOff>89243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C1E4E445-D53C-4AA0-BC20-FE05EF7C8853}"/>
            </a:ext>
          </a:extLst>
        </xdr:cNvPr>
        <xdr:cNvCxnSpPr/>
      </xdr:nvCxnSpPr>
      <xdr:spPr>
        <a:xfrm>
          <a:off x="4242130" y="3978412"/>
          <a:ext cx="28038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</xdr:row>
      <xdr:rowOff>185351</xdr:rowOff>
    </xdr:from>
    <xdr:to>
      <xdr:col>21</xdr:col>
      <xdr:colOff>6865</xdr:colOff>
      <xdr:row>6</xdr:row>
      <xdr:rowOff>6865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F6B3D0A-6F90-4F01-91D4-7B399ABF2E7E}"/>
            </a:ext>
          </a:extLst>
        </xdr:cNvPr>
        <xdr:cNvCxnSpPr/>
      </xdr:nvCxnSpPr>
      <xdr:spPr>
        <a:xfrm>
          <a:off x="5324104" y="4252650"/>
          <a:ext cx="293852" cy="3855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</xdr:row>
      <xdr:rowOff>0</xdr:rowOff>
    </xdr:from>
    <xdr:to>
      <xdr:col>21</xdr:col>
      <xdr:colOff>0</xdr:colOff>
      <xdr:row>11</xdr:row>
      <xdr:rowOff>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710481EC-8F8F-4196-A8B1-C3C66C6EC849}"/>
            </a:ext>
          </a:extLst>
        </xdr:cNvPr>
        <xdr:cNvCxnSpPr/>
      </xdr:nvCxnSpPr>
      <xdr:spPr>
        <a:xfrm flipV="1">
          <a:off x="5324104" y="5185558"/>
          <a:ext cx="286987" cy="37605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</xdr:row>
      <xdr:rowOff>0</xdr:rowOff>
    </xdr:from>
    <xdr:to>
      <xdr:col>25</xdr:col>
      <xdr:colOff>0</xdr:colOff>
      <xdr:row>6</xdr:row>
      <xdr:rowOff>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1105ABBB-ECF9-4F73-A3EC-71EB0BB53013}"/>
            </a:ext>
          </a:extLst>
        </xdr:cNvPr>
        <xdr:cNvCxnSpPr/>
      </xdr:nvCxnSpPr>
      <xdr:spPr>
        <a:xfrm flipV="1">
          <a:off x="6452260" y="4443351"/>
          <a:ext cx="286987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</xdr:row>
      <xdr:rowOff>102973</xdr:rowOff>
    </xdr:from>
    <xdr:to>
      <xdr:col>24</xdr:col>
      <xdr:colOff>281460</xdr:colOff>
      <xdr:row>7</xdr:row>
      <xdr:rowOff>102973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120E918F-47B5-4723-8A5F-5F51B6AE8CF5}"/>
            </a:ext>
          </a:extLst>
        </xdr:cNvPr>
        <xdr:cNvCxnSpPr/>
      </xdr:nvCxnSpPr>
      <xdr:spPr>
        <a:xfrm>
          <a:off x="6452260" y="4912479"/>
          <a:ext cx="28146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0</xdr:rowOff>
    </xdr:from>
    <xdr:to>
      <xdr:col>25</xdr:col>
      <xdr:colOff>0</xdr:colOff>
      <xdr:row>10</xdr:row>
      <xdr:rowOff>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1D7A352-CCB4-4487-8B2B-5390BBB9A1FE}"/>
            </a:ext>
          </a:extLst>
        </xdr:cNvPr>
        <xdr:cNvCxnSpPr/>
      </xdr:nvCxnSpPr>
      <xdr:spPr>
        <a:xfrm>
          <a:off x="6452260" y="5185558"/>
          <a:ext cx="286987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3</xdr:row>
      <xdr:rowOff>96108</xdr:rowOff>
    </xdr:from>
    <xdr:to>
      <xdr:col>29</xdr:col>
      <xdr:colOff>0</xdr:colOff>
      <xdr:row>3</xdr:row>
      <xdr:rowOff>102973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28837168-1022-4822-9CDB-F8E2CF10FBFA}"/>
            </a:ext>
          </a:extLst>
        </xdr:cNvPr>
        <xdr:cNvCxnSpPr/>
      </xdr:nvCxnSpPr>
      <xdr:spPr>
        <a:xfrm>
          <a:off x="7557325" y="4163407"/>
          <a:ext cx="300181" cy="68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7</xdr:row>
      <xdr:rowOff>96108</xdr:rowOff>
    </xdr:from>
    <xdr:to>
      <xdr:col>29</xdr:col>
      <xdr:colOff>0</xdr:colOff>
      <xdr:row>8</xdr:row>
      <xdr:rowOff>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B40DDBF7-E2AD-4C1E-93FE-59E56BC971DA}"/>
            </a:ext>
          </a:extLst>
        </xdr:cNvPr>
        <xdr:cNvCxnSpPr/>
      </xdr:nvCxnSpPr>
      <xdr:spPr>
        <a:xfrm>
          <a:off x="7580416" y="4905614"/>
          <a:ext cx="277090" cy="9191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0</xdr:colOff>
      <xdr:row>11</xdr:row>
      <xdr:rowOff>102973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FD28AC09-90DC-42CA-9763-92F3BC25C070}"/>
            </a:ext>
          </a:extLst>
        </xdr:cNvPr>
        <xdr:cNvCxnSpPr/>
      </xdr:nvCxnSpPr>
      <xdr:spPr>
        <a:xfrm flipV="1">
          <a:off x="7580416" y="5561610"/>
          <a:ext cx="277090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</xdr:row>
      <xdr:rowOff>102973</xdr:rowOff>
    </xdr:from>
    <xdr:to>
      <xdr:col>33</xdr:col>
      <xdr:colOff>0</xdr:colOff>
      <xdr:row>5</xdr:row>
      <xdr:rowOff>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3A2E731-A274-4858-8751-F76FD453B4C9}"/>
            </a:ext>
          </a:extLst>
        </xdr:cNvPr>
        <xdr:cNvCxnSpPr/>
      </xdr:nvCxnSpPr>
      <xdr:spPr>
        <a:xfrm>
          <a:off x="8688779" y="4170272"/>
          <a:ext cx="277091" cy="27307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8</xdr:row>
      <xdr:rowOff>0</xdr:rowOff>
    </xdr:from>
    <xdr:to>
      <xdr:col>33</xdr:col>
      <xdr:colOff>0</xdr:colOff>
      <xdr:row>9</xdr:row>
      <xdr:rowOff>102973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2A8762A5-7E5F-48CB-87BB-7C2DAA7EDDAE}"/>
            </a:ext>
          </a:extLst>
        </xdr:cNvPr>
        <xdr:cNvCxnSpPr/>
      </xdr:nvCxnSpPr>
      <xdr:spPr>
        <a:xfrm flipV="1">
          <a:off x="8688779" y="4997532"/>
          <a:ext cx="277091" cy="2909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67</xdr:row>
      <xdr:rowOff>191832</xdr:rowOff>
    </xdr:from>
    <xdr:to>
      <xdr:col>4</xdr:col>
      <xdr:colOff>255776</xdr:colOff>
      <xdr:row>69</xdr:row>
      <xdr:rowOff>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4E0E9D07-ED14-4674-A527-745D7465A610}"/>
            </a:ext>
          </a:extLst>
        </xdr:cNvPr>
        <xdr:cNvCxnSpPr/>
      </xdr:nvCxnSpPr>
      <xdr:spPr>
        <a:xfrm flipV="1">
          <a:off x="1055791" y="1488222"/>
          <a:ext cx="248972" cy="1842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71</xdr:row>
      <xdr:rowOff>186504</xdr:rowOff>
    </xdr:from>
    <xdr:to>
      <xdr:col>5</xdr:col>
      <xdr:colOff>5329</xdr:colOff>
      <xdr:row>73</xdr:row>
      <xdr:rowOff>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D270580D-CF3B-4147-B71A-FD721E4770A7}"/>
            </a:ext>
          </a:extLst>
        </xdr:cNvPr>
        <xdr:cNvCxnSpPr/>
      </xdr:nvCxnSpPr>
      <xdr:spPr>
        <a:xfrm>
          <a:off x="1054316" y="2234998"/>
          <a:ext cx="267195" cy="1895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66</xdr:row>
      <xdr:rowOff>85259</xdr:rowOff>
    </xdr:from>
    <xdr:to>
      <xdr:col>9</xdr:col>
      <xdr:colOff>5328</xdr:colOff>
      <xdr:row>66</xdr:row>
      <xdr:rowOff>90588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861F818F-0976-44C4-9B03-6DF15EF73864}"/>
            </a:ext>
          </a:extLst>
        </xdr:cNvPr>
        <xdr:cNvCxnSpPr/>
      </xdr:nvCxnSpPr>
      <xdr:spPr>
        <a:xfrm>
          <a:off x="2109385" y="1203519"/>
          <a:ext cx="280904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74</xdr:row>
      <xdr:rowOff>90588</xdr:rowOff>
    </xdr:from>
    <xdr:to>
      <xdr:col>9</xdr:col>
      <xdr:colOff>0</xdr:colOff>
      <xdr:row>74</xdr:row>
      <xdr:rowOff>95917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F0FF60BA-73A3-42F6-91B8-11CFD3D6926F}"/>
            </a:ext>
          </a:extLst>
        </xdr:cNvPr>
        <xdr:cNvCxnSpPr/>
      </xdr:nvCxnSpPr>
      <xdr:spPr>
        <a:xfrm>
          <a:off x="2111676" y="2703159"/>
          <a:ext cx="273285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186503</xdr:rowOff>
    </xdr:from>
    <xdr:to>
      <xdr:col>13</xdr:col>
      <xdr:colOff>5328</xdr:colOff>
      <xdr:row>64</xdr:row>
      <xdr:rowOff>186503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5D442523-7B40-4850-AA4B-04D02BA28224}"/>
            </a:ext>
          </a:extLst>
        </xdr:cNvPr>
        <xdr:cNvCxnSpPr/>
      </xdr:nvCxnSpPr>
      <xdr:spPr>
        <a:xfrm flipV="1">
          <a:off x="3176649" y="740685"/>
          <a:ext cx="282419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67</xdr:row>
      <xdr:rowOff>186503</xdr:rowOff>
    </xdr:from>
    <xdr:to>
      <xdr:col>12</xdr:col>
      <xdr:colOff>255776</xdr:colOff>
      <xdr:row>69</xdr:row>
      <xdr:rowOff>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7B02B4A1-5B94-4311-858C-B6120F2CCA06}"/>
            </a:ext>
          </a:extLst>
        </xdr:cNvPr>
        <xdr:cNvCxnSpPr/>
      </xdr:nvCxnSpPr>
      <xdr:spPr>
        <a:xfrm>
          <a:off x="3178164" y="1482893"/>
          <a:ext cx="254261" cy="1895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74</xdr:row>
      <xdr:rowOff>95916</xdr:rowOff>
    </xdr:from>
    <xdr:to>
      <xdr:col>13</xdr:col>
      <xdr:colOff>0</xdr:colOff>
      <xdr:row>74</xdr:row>
      <xdr:rowOff>101245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3823B56E-AA27-444B-97D5-3F0B2AE1C115}"/>
            </a:ext>
          </a:extLst>
        </xdr:cNvPr>
        <xdr:cNvCxnSpPr/>
      </xdr:nvCxnSpPr>
      <xdr:spPr>
        <a:xfrm>
          <a:off x="3176649" y="2708487"/>
          <a:ext cx="277091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70</xdr:row>
      <xdr:rowOff>82378</xdr:rowOff>
    </xdr:from>
    <xdr:to>
      <xdr:col>17</xdr:col>
      <xdr:colOff>6865</xdr:colOff>
      <xdr:row>71</xdr:row>
      <xdr:rowOff>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D506F270-0DD7-4E5B-B73A-BB3E555D4944}"/>
            </a:ext>
          </a:extLst>
        </xdr:cNvPr>
        <xdr:cNvCxnSpPr/>
      </xdr:nvCxnSpPr>
      <xdr:spPr>
        <a:xfrm>
          <a:off x="4245429" y="1942846"/>
          <a:ext cx="283955" cy="10564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74</xdr:row>
      <xdr:rowOff>0</xdr:rowOff>
    </xdr:from>
    <xdr:to>
      <xdr:col>17</xdr:col>
      <xdr:colOff>0</xdr:colOff>
      <xdr:row>74</xdr:row>
      <xdr:rowOff>89243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E2B49D33-8F97-47FB-87F9-721583EAD8B9}"/>
            </a:ext>
          </a:extLst>
        </xdr:cNvPr>
        <xdr:cNvCxnSpPr/>
      </xdr:nvCxnSpPr>
      <xdr:spPr>
        <a:xfrm flipV="1">
          <a:off x="4242130" y="2612571"/>
          <a:ext cx="280389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62</xdr:row>
      <xdr:rowOff>89243</xdr:rowOff>
    </xdr:from>
    <xdr:to>
      <xdr:col>17</xdr:col>
      <xdr:colOff>0</xdr:colOff>
      <xdr:row>62</xdr:row>
      <xdr:rowOff>89243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72A99765-F6F3-41DF-A1F3-509A54EB93CD}"/>
            </a:ext>
          </a:extLst>
        </xdr:cNvPr>
        <xdr:cNvCxnSpPr/>
      </xdr:nvCxnSpPr>
      <xdr:spPr>
        <a:xfrm>
          <a:off x="4242130" y="465295"/>
          <a:ext cx="28038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63</xdr:row>
      <xdr:rowOff>185351</xdr:rowOff>
    </xdr:from>
    <xdr:to>
      <xdr:col>21</xdr:col>
      <xdr:colOff>6865</xdr:colOff>
      <xdr:row>66</xdr:row>
      <xdr:rowOff>6865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6C606A9A-CAD5-4DBC-B59F-6A3906B3B680}"/>
            </a:ext>
          </a:extLst>
        </xdr:cNvPr>
        <xdr:cNvCxnSpPr/>
      </xdr:nvCxnSpPr>
      <xdr:spPr>
        <a:xfrm>
          <a:off x="5324104" y="739533"/>
          <a:ext cx="293852" cy="3855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69</xdr:row>
      <xdr:rowOff>0</xdr:rowOff>
    </xdr:from>
    <xdr:to>
      <xdr:col>21</xdr:col>
      <xdr:colOff>0</xdr:colOff>
      <xdr:row>71</xdr:row>
      <xdr:rowOff>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133C50A3-2A99-4FF4-89E2-408335460B98}"/>
            </a:ext>
          </a:extLst>
        </xdr:cNvPr>
        <xdr:cNvCxnSpPr/>
      </xdr:nvCxnSpPr>
      <xdr:spPr>
        <a:xfrm flipV="1">
          <a:off x="5324104" y="1672442"/>
          <a:ext cx="286987" cy="37605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65</xdr:row>
      <xdr:rowOff>0</xdr:rowOff>
    </xdr:from>
    <xdr:to>
      <xdr:col>25</xdr:col>
      <xdr:colOff>0</xdr:colOff>
      <xdr:row>66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70E50D02-D8D8-4B36-AFF9-14EC7AEE8B72}"/>
            </a:ext>
          </a:extLst>
        </xdr:cNvPr>
        <xdr:cNvCxnSpPr/>
      </xdr:nvCxnSpPr>
      <xdr:spPr>
        <a:xfrm flipV="1">
          <a:off x="6452260" y="930234"/>
          <a:ext cx="286987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67</xdr:row>
      <xdr:rowOff>102973</xdr:rowOff>
    </xdr:from>
    <xdr:to>
      <xdr:col>24</xdr:col>
      <xdr:colOff>281460</xdr:colOff>
      <xdr:row>67</xdr:row>
      <xdr:rowOff>102973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15B2A7D8-99E9-4B6A-80BA-1E1D7B5DB9CB}"/>
            </a:ext>
          </a:extLst>
        </xdr:cNvPr>
        <xdr:cNvCxnSpPr/>
      </xdr:nvCxnSpPr>
      <xdr:spPr>
        <a:xfrm>
          <a:off x="6452260" y="1399363"/>
          <a:ext cx="28146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69</xdr:row>
      <xdr:rowOff>0</xdr:rowOff>
    </xdr:from>
    <xdr:to>
      <xdr:col>25</xdr:col>
      <xdr:colOff>0</xdr:colOff>
      <xdr:row>70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91A0CF36-4C63-43A9-9AE4-54F92956775F}"/>
            </a:ext>
          </a:extLst>
        </xdr:cNvPr>
        <xdr:cNvCxnSpPr/>
      </xdr:nvCxnSpPr>
      <xdr:spPr>
        <a:xfrm>
          <a:off x="6452260" y="1672442"/>
          <a:ext cx="286987" cy="188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63</xdr:row>
      <xdr:rowOff>96108</xdr:rowOff>
    </xdr:from>
    <xdr:to>
      <xdr:col>29</xdr:col>
      <xdr:colOff>0</xdr:colOff>
      <xdr:row>63</xdr:row>
      <xdr:rowOff>102973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845F1479-1936-43B0-A3F5-E7F3CC3F8C2F}"/>
            </a:ext>
          </a:extLst>
        </xdr:cNvPr>
        <xdr:cNvCxnSpPr/>
      </xdr:nvCxnSpPr>
      <xdr:spPr>
        <a:xfrm>
          <a:off x="7557325" y="650290"/>
          <a:ext cx="300181" cy="68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67</xdr:row>
      <xdr:rowOff>96108</xdr:rowOff>
    </xdr:from>
    <xdr:to>
      <xdr:col>29</xdr:col>
      <xdr:colOff>0</xdr:colOff>
      <xdr:row>68</xdr:row>
      <xdr:rowOff>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7DBADDBC-8223-4A0B-9F7A-2ACD498EE719}"/>
            </a:ext>
          </a:extLst>
        </xdr:cNvPr>
        <xdr:cNvCxnSpPr/>
      </xdr:nvCxnSpPr>
      <xdr:spPr>
        <a:xfrm>
          <a:off x="7580416" y="1392498"/>
          <a:ext cx="277090" cy="9191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71</xdr:row>
      <xdr:rowOff>0</xdr:rowOff>
    </xdr:from>
    <xdr:to>
      <xdr:col>29</xdr:col>
      <xdr:colOff>0</xdr:colOff>
      <xdr:row>71</xdr:row>
      <xdr:rowOff>102973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503CD2E6-60EC-4AE0-8BBA-90F2413320D9}"/>
            </a:ext>
          </a:extLst>
        </xdr:cNvPr>
        <xdr:cNvCxnSpPr/>
      </xdr:nvCxnSpPr>
      <xdr:spPr>
        <a:xfrm flipV="1">
          <a:off x="7580416" y="2048494"/>
          <a:ext cx="277090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63</xdr:row>
      <xdr:rowOff>102973</xdr:rowOff>
    </xdr:from>
    <xdr:to>
      <xdr:col>33</xdr:col>
      <xdr:colOff>0</xdr:colOff>
      <xdr:row>65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6AF85D8A-0813-4CCF-962C-C7BE29518902}"/>
            </a:ext>
          </a:extLst>
        </xdr:cNvPr>
        <xdr:cNvCxnSpPr/>
      </xdr:nvCxnSpPr>
      <xdr:spPr>
        <a:xfrm>
          <a:off x="8688779" y="657155"/>
          <a:ext cx="277091" cy="27307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68</xdr:row>
      <xdr:rowOff>0</xdr:rowOff>
    </xdr:from>
    <xdr:to>
      <xdr:col>33</xdr:col>
      <xdr:colOff>0</xdr:colOff>
      <xdr:row>69</xdr:row>
      <xdr:rowOff>102973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1669DC44-DEEB-416D-A597-31DB8CBB4B3B}"/>
            </a:ext>
          </a:extLst>
        </xdr:cNvPr>
        <xdr:cNvCxnSpPr/>
      </xdr:nvCxnSpPr>
      <xdr:spPr>
        <a:xfrm flipV="1">
          <a:off x="8688779" y="1484416"/>
          <a:ext cx="277091" cy="2909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86</xdr:row>
      <xdr:rowOff>314</xdr:rowOff>
    </xdr:from>
    <xdr:to>
      <xdr:col>4</xdr:col>
      <xdr:colOff>255776</xdr:colOff>
      <xdr:row>87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643A2A4-0B9E-473C-89AD-9412A388B45C}"/>
            </a:ext>
          </a:extLst>
        </xdr:cNvPr>
        <xdr:cNvCxnSpPr/>
      </xdr:nvCxnSpPr>
      <xdr:spPr>
        <a:xfrm flipV="1">
          <a:off x="1075356" y="5316797"/>
          <a:ext cx="248972" cy="192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89</xdr:row>
      <xdr:rowOff>186504</xdr:rowOff>
    </xdr:from>
    <xdr:to>
      <xdr:col>5</xdr:col>
      <xdr:colOff>5329</xdr:colOff>
      <xdr:row>91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878CDA7-EC6B-4AA9-B703-AF873927A8DA}"/>
            </a:ext>
          </a:extLst>
        </xdr:cNvPr>
        <xdr:cNvCxnSpPr/>
      </xdr:nvCxnSpPr>
      <xdr:spPr>
        <a:xfrm>
          <a:off x="1073881" y="6081056"/>
          <a:ext cx="262758" cy="1988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84</xdr:row>
      <xdr:rowOff>85259</xdr:rowOff>
    </xdr:from>
    <xdr:to>
      <xdr:col>9</xdr:col>
      <xdr:colOff>5328</xdr:colOff>
      <xdr:row>84</xdr:row>
      <xdr:rowOff>90588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50D5CAD-EED1-454E-B54A-613C83DADA64}"/>
            </a:ext>
          </a:extLst>
        </xdr:cNvPr>
        <xdr:cNvCxnSpPr/>
      </xdr:nvCxnSpPr>
      <xdr:spPr>
        <a:xfrm>
          <a:off x="2132020" y="5025121"/>
          <a:ext cx="273170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92</xdr:row>
      <xdr:rowOff>90588</xdr:rowOff>
    </xdr:from>
    <xdr:to>
      <xdr:col>9</xdr:col>
      <xdr:colOff>0</xdr:colOff>
      <xdr:row>92</xdr:row>
      <xdr:rowOff>95917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D225803-A613-44B3-BEE6-12050D9E9CF1}"/>
            </a:ext>
          </a:extLst>
        </xdr:cNvPr>
        <xdr:cNvCxnSpPr/>
      </xdr:nvCxnSpPr>
      <xdr:spPr>
        <a:xfrm>
          <a:off x="2126691" y="6563209"/>
          <a:ext cx="273171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81</xdr:row>
      <xdr:rowOff>186503</xdr:rowOff>
    </xdr:from>
    <xdr:to>
      <xdr:col>13</xdr:col>
      <xdr:colOff>5328</xdr:colOff>
      <xdr:row>82</xdr:row>
      <xdr:rowOff>186503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E996932-55C6-4572-AB26-77BDCDDBDC64}"/>
            </a:ext>
          </a:extLst>
        </xdr:cNvPr>
        <xdr:cNvCxnSpPr/>
      </xdr:nvCxnSpPr>
      <xdr:spPr>
        <a:xfrm flipV="1">
          <a:off x="3205655" y="4548296"/>
          <a:ext cx="268087" cy="192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85</xdr:row>
      <xdr:rowOff>186503</xdr:rowOff>
    </xdr:from>
    <xdr:to>
      <xdr:col>12</xdr:col>
      <xdr:colOff>255776</xdr:colOff>
      <xdr:row>87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202B9FE-6F44-4AFC-B110-C64422D4C7EA}"/>
            </a:ext>
          </a:extLst>
        </xdr:cNvPr>
        <xdr:cNvCxnSpPr/>
      </xdr:nvCxnSpPr>
      <xdr:spPr>
        <a:xfrm>
          <a:off x="3200571" y="5310296"/>
          <a:ext cx="260860" cy="19887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92</xdr:row>
      <xdr:rowOff>95916</xdr:rowOff>
    </xdr:from>
    <xdr:to>
      <xdr:col>13</xdr:col>
      <xdr:colOff>0</xdr:colOff>
      <xdr:row>92</xdr:row>
      <xdr:rowOff>101245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645090A-B031-488B-9579-F7C034D8609C}"/>
            </a:ext>
          </a:extLst>
        </xdr:cNvPr>
        <xdr:cNvCxnSpPr/>
      </xdr:nvCxnSpPr>
      <xdr:spPr>
        <a:xfrm>
          <a:off x="3205655" y="6568537"/>
          <a:ext cx="262759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88</xdr:row>
      <xdr:rowOff>82378</xdr:rowOff>
    </xdr:from>
    <xdr:to>
      <xdr:col>17</xdr:col>
      <xdr:colOff>6865</xdr:colOff>
      <xdr:row>89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AAF2FA8-31F6-4BB8-B7FD-97C2C4EF9F21}"/>
            </a:ext>
          </a:extLst>
        </xdr:cNvPr>
        <xdr:cNvCxnSpPr/>
      </xdr:nvCxnSpPr>
      <xdr:spPr>
        <a:xfrm>
          <a:off x="4274207" y="5784240"/>
          <a:ext cx="269624" cy="11031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92</xdr:row>
      <xdr:rowOff>0</xdr:rowOff>
    </xdr:from>
    <xdr:to>
      <xdr:col>17</xdr:col>
      <xdr:colOff>0</xdr:colOff>
      <xdr:row>92</xdr:row>
      <xdr:rowOff>89243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D754430-9B5B-445E-954A-9823BE10A919}"/>
            </a:ext>
          </a:extLst>
        </xdr:cNvPr>
        <xdr:cNvCxnSpPr/>
      </xdr:nvCxnSpPr>
      <xdr:spPr>
        <a:xfrm flipV="1">
          <a:off x="4256690" y="6472621"/>
          <a:ext cx="280276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80</xdr:row>
      <xdr:rowOff>89243</xdr:rowOff>
    </xdr:from>
    <xdr:to>
      <xdr:col>17</xdr:col>
      <xdr:colOff>0</xdr:colOff>
      <xdr:row>80</xdr:row>
      <xdr:rowOff>89243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7605153-CF09-4FC6-AC23-340955D68685}"/>
            </a:ext>
          </a:extLst>
        </xdr:cNvPr>
        <xdr:cNvCxnSpPr/>
      </xdr:nvCxnSpPr>
      <xdr:spPr>
        <a:xfrm>
          <a:off x="4256690" y="4267105"/>
          <a:ext cx="28027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81</xdr:row>
      <xdr:rowOff>185351</xdr:rowOff>
    </xdr:from>
    <xdr:to>
      <xdr:col>21</xdr:col>
      <xdr:colOff>6865</xdr:colOff>
      <xdr:row>84</xdr:row>
      <xdr:rowOff>6865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F2A15FD-4B2F-410F-84A4-9516184EF363}"/>
            </a:ext>
          </a:extLst>
        </xdr:cNvPr>
        <xdr:cNvCxnSpPr/>
      </xdr:nvCxnSpPr>
      <xdr:spPr>
        <a:xfrm>
          <a:off x="5342759" y="4547144"/>
          <a:ext cx="269623" cy="399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87</xdr:row>
      <xdr:rowOff>0</xdr:rowOff>
    </xdr:from>
    <xdr:to>
      <xdr:col>21</xdr:col>
      <xdr:colOff>0</xdr:colOff>
      <xdr:row>89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B54503E-F842-4577-BE3B-CC17EE116516}"/>
            </a:ext>
          </a:extLst>
        </xdr:cNvPr>
        <xdr:cNvCxnSpPr/>
      </xdr:nvCxnSpPr>
      <xdr:spPr>
        <a:xfrm flipV="1">
          <a:off x="5342759" y="5509172"/>
          <a:ext cx="262758" cy="3853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83</xdr:row>
      <xdr:rowOff>0</xdr:rowOff>
    </xdr:from>
    <xdr:to>
      <xdr:col>25</xdr:col>
      <xdr:colOff>0</xdr:colOff>
      <xdr:row>84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2E41696-72A3-49A6-9D54-DCF8A5287241}"/>
            </a:ext>
          </a:extLst>
        </xdr:cNvPr>
        <xdr:cNvCxnSpPr/>
      </xdr:nvCxnSpPr>
      <xdr:spPr>
        <a:xfrm flipV="1">
          <a:off x="6437586" y="4747172"/>
          <a:ext cx="262759" cy="192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102973</xdr:rowOff>
    </xdr:from>
    <xdr:to>
      <xdr:col>24</xdr:col>
      <xdr:colOff>281460</xdr:colOff>
      <xdr:row>85</xdr:row>
      <xdr:rowOff>102973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ABB83D1-5B0F-45CA-8CBF-99CFC4E8015B}"/>
            </a:ext>
          </a:extLst>
        </xdr:cNvPr>
        <xdr:cNvCxnSpPr/>
      </xdr:nvCxnSpPr>
      <xdr:spPr>
        <a:xfrm>
          <a:off x="6437586" y="5226766"/>
          <a:ext cx="2586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87</xdr:row>
      <xdr:rowOff>0</xdr:rowOff>
    </xdr:from>
    <xdr:to>
      <xdr:col>25</xdr:col>
      <xdr:colOff>0</xdr:colOff>
      <xdr:row>88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860924F-DA52-420D-8CED-DB68678C900D}"/>
            </a:ext>
          </a:extLst>
        </xdr:cNvPr>
        <xdr:cNvCxnSpPr/>
      </xdr:nvCxnSpPr>
      <xdr:spPr>
        <a:xfrm>
          <a:off x="6437586" y="5509172"/>
          <a:ext cx="262759" cy="1926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81</xdr:row>
      <xdr:rowOff>96108</xdr:rowOff>
    </xdr:from>
    <xdr:to>
      <xdr:col>29</xdr:col>
      <xdr:colOff>0</xdr:colOff>
      <xdr:row>81</xdr:row>
      <xdr:rowOff>102973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84D529AC-5D4B-4D15-AB69-2D744A263951}"/>
            </a:ext>
          </a:extLst>
        </xdr:cNvPr>
        <xdr:cNvCxnSpPr/>
      </xdr:nvCxnSpPr>
      <xdr:spPr>
        <a:xfrm>
          <a:off x="7514897" y="4457901"/>
          <a:ext cx="306551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85</xdr:row>
      <xdr:rowOff>96108</xdr:rowOff>
    </xdr:from>
    <xdr:to>
      <xdr:col>29</xdr:col>
      <xdr:colOff>0</xdr:colOff>
      <xdr:row>86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6BA9800-23F9-4B86-8363-69C034868C0B}"/>
            </a:ext>
          </a:extLst>
        </xdr:cNvPr>
        <xdr:cNvCxnSpPr/>
      </xdr:nvCxnSpPr>
      <xdr:spPr>
        <a:xfrm>
          <a:off x="7558690" y="5219901"/>
          <a:ext cx="262758" cy="9658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89</xdr:row>
      <xdr:rowOff>0</xdr:rowOff>
    </xdr:from>
    <xdr:to>
      <xdr:col>29</xdr:col>
      <xdr:colOff>0</xdr:colOff>
      <xdr:row>89</xdr:row>
      <xdr:rowOff>102973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0CECC7A-05B2-44A0-A125-ABC3BC3C8565}"/>
            </a:ext>
          </a:extLst>
        </xdr:cNvPr>
        <xdr:cNvCxnSpPr/>
      </xdr:nvCxnSpPr>
      <xdr:spPr>
        <a:xfrm flipV="1">
          <a:off x="7558690" y="5894552"/>
          <a:ext cx="262758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81</xdr:row>
      <xdr:rowOff>102973</xdr:rowOff>
    </xdr:from>
    <xdr:to>
      <xdr:col>33</xdr:col>
      <xdr:colOff>0</xdr:colOff>
      <xdr:row>83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2FB9B80-91A8-4E27-9984-0B6F0C726EEF}"/>
            </a:ext>
          </a:extLst>
        </xdr:cNvPr>
        <xdr:cNvCxnSpPr/>
      </xdr:nvCxnSpPr>
      <xdr:spPr>
        <a:xfrm>
          <a:off x="8627241" y="4464766"/>
          <a:ext cx="262759" cy="28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86</xdr:row>
      <xdr:rowOff>0</xdr:rowOff>
    </xdr:from>
    <xdr:to>
      <xdr:col>33</xdr:col>
      <xdr:colOff>0</xdr:colOff>
      <xdr:row>87</xdr:row>
      <xdr:rowOff>102973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5FF97FA-331A-4BEC-9A72-7270BAD6762C}"/>
            </a:ext>
          </a:extLst>
        </xdr:cNvPr>
        <xdr:cNvCxnSpPr/>
      </xdr:nvCxnSpPr>
      <xdr:spPr>
        <a:xfrm flipV="1">
          <a:off x="8627241" y="5316483"/>
          <a:ext cx="262759" cy="2956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104</xdr:row>
      <xdr:rowOff>314</xdr:rowOff>
    </xdr:from>
    <xdr:to>
      <xdr:col>4</xdr:col>
      <xdr:colOff>255776</xdr:colOff>
      <xdr:row>105</xdr:row>
      <xdr:rowOff>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86E07A1-C14E-4D80-BD3A-15505A0BEA03}"/>
            </a:ext>
          </a:extLst>
        </xdr:cNvPr>
        <xdr:cNvCxnSpPr/>
      </xdr:nvCxnSpPr>
      <xdr:spPr>
        <a:xfrm flipV="1">
          <a:off x="1087459" y="16293259"/>
          <a:ext cx="248972" cy="193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107</xdr:row>
      <xdr:rowOff>186504</xdr:rowOff>
    </xdr:from>
    <xdr:to>
      <xdr:col>5</xdr:col>
      <xdr:colOff>5329</xdr:colOff>
      <xdr:row>109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36F37D9-1497-4196-97FD-8D3CD5E5565D}"/>
            </a:ext>
          </a:extLst>
        </xdr:cNvPr>
        <xdr:cNvCxnSpPr/>
      </xdr:nvCxnSpPr>
      <xdr:spPr>
        <a:xfrm>
          <a:off x="1085984" y="17061340"/>
          <a:ext cx="263236" cy="20142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102</xdr:row>
      <xdr:rowOff>85259</xdr:rowOff>
    </xdr:from>
    <xdr:to>
      <xdr:col>9</xdr:col>
      <xdr:colOff>5328</xdr:colOff>
      <xdr:row>102</xdr:row>
      <xdr:rowOff>90588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06B4E4F-3094-4922-B4D6-65409BD21E79}"/>
            </a:ext>
          </a:extLst>
        </xdr:cNvPr>
        <xdr:cNvCxnSpPr/>
      </xdr:nvCxnSpPr>
      <xdr:spPr>
        <a:xfrm>
          <a:off x="2150652" y="16004132"/>
          <a:ext cx="279221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110</xdr:row>
      <xdr:rowOff>90588</xdr:rowOff>
    </xdr:from>
    <xdr:to>
      <xdr:col>9</xdr:col>
      <xdr:colOff>0</xdr:colOff>
      <xdr:row>110</xdr:row>
      <xdr:rowOff>95917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3938FB-11ED-4C10-AD9C-0AAA5582D049}"/>
            </a:ext>
          </a:extLst>
        </xdr:cNvPr>
        <xdr:cNvCxnSpPr/>
      </xdr:nvCxnSpPr>
      <xdr:spPr>
        <a:xfrm>
          <a:off x="2145323" y="17547315"/>
          <a:ext cx="279222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99</xdr:row>
      <xdr:rowOff>186503</xdr:rowOff>
    </xdr:from>
    <xdr:to>
      <xdr:col>13</xdr:col>
      <xdr:colOff>5328</xdr:colOff>
      <xdr:row>100</xdr:row>
      <xdr:rowOff>186503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426A8F3B-104B-40AA-BF2F-696ACCF08EC1}"/>
            </a:ext>
          </a:extLst>
        </xdr:cNvPr>
        <xdr:cNvCxnSpPr/>
      </xdr:nvCxnSpPr>
      <xdr:spPr>
        <a:xfrm flipV="1">
          <a:off x="3241964" y="15523485"/>
          <a:ext cx="268564" cy="193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103</xdr:row>
      <xdr:rowOff>186503</xdr:rowOff>
    </xdr:from>
    <xdr:to>
      <xdr:col>12</xdr:col>
      <xdr:colOff>255776</xdr:colOff>
      <xdr:row>105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C6EA0D5-195B-4A02-BD86-1DEA8CBEB269}"/>
            </a:ext>
          </a:extLst>
        </xdr:cNvPr>
        <xdr:cNvCxnSpPr/>
      </xdr:nvCxnSpPr>
      <xdr:spPr>
        <a:xfrm>
          <a:off x="3231306" y="16285485"/>
          <a:ext cx="266434" cy="20142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110</xdr:row>
      <xdr:rowOff>95916</xdr:rowOff>
    </xdr:from>
    <xdr:to>
      <xdr:col>13</xdr:col>
      <xdr:colOff>0</xdr:colOff>
      <xdr:row>110</xdr:row>
      <xdr:rowOff>101245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F0254F1A-3032-401D-8B1E-0ABB7F7C62F7}"/>
            </a:ext>
          </a:extLst>
        </xdr:cNvPr>
        <xdr:cNvCxnSpPr/>
      </xdr:nvCxnSpPr>
      <xdr:spPr>
        <a:xfrm>
          <a:off x="3241964" y="17552643"/>
          <a:ext cx="263236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82378</xdr:rowOff>
    </xdr:from>
    <xdr:to>
      <xdr:col>17</xdr:col>
      <xdr:colOff>6865</xdr:colOff>
      <xdr:row>107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A16E3FF-1331-4526-8CB4-DF2C738A2342}"/>
            </a:ext>
          </a:extLst>
        </xdr:cNvPr>
        <xdr:cNvCxnSpPr/>
      </xdr:nvCxnSpPr>
      <xdr:spPr>
        <a:xfrm>
          <a:off x="4322618" y="16763251"/>
          <a:ext cx="270102" cy="11158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110</xdr:row>
      <xdr:rowOff>0</xdr:rowOff>
    </xdr:from>
    <xdr:to>
      <xdr:col>17</xdr:col>
      <xdr:colOff>0</xdr:colOff>
      <xdr:row>110</xdr:row>
      <xdr:rowOff>89243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50B1B26E-D896-4B08-9D4F-E2BBC0B1691B}"/>
            </a:ext>
          </a:extLst>
        </xdr:cNvPr>
        <xdr:cNvCxnSpPr/>
      </xdr:nvCxnSpPr>
      <xdr:spPr>
        <a:xfrm flipV="1">
          <a:off x="4299527" y="17456727"/>
          <a:ext cx="286328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98</xdr:row>
      <xdr:rowOff>89243</xdr:rowOff>
    </xdr:from>
    <xdr:to>
      <xdr:col>17</xdr:col>
      <xdr:colOff>0</xdr:colOff>
      <xdr:row>98</xdr:row>
      <xdr:rowOff>89243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0F0BDCC-C266-4103-A858-C91A8BF0050A}"/>
            </a:ext>
          </a:extLst>
        </xdr:cNvPr>
        <xdr:cNvCxnSpPr/>
      </xdr:nvCxnSpPr>
      <xdr:spPr>
        <a:xfrm>
          <a:off x="4299527" y="15246116"/>
          <a:ext cx="286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99</xdr:row>
      <xdr:rowOff>185351</xdr:rowOff>
    </xdr:from>
    <xdr:to>
      <xdr:col>21</xdr:col>
      <xdr:colOff>6865</xdr:colOff>
      <xdr:row>102</xdr:row>
      <xdr:rowOff>6865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D236987-C153-4869-B172-A8E913D0BE7F}"/>
            </a:ext>
          </a:extLst>
        </xdr:cNvPr>
        <xdr:cNvCxnSpPr/>
      </xdr:nvCxnSpPr>
      <xdr:spPr>
        <a:xfrm>
          <a:off x="5403273" y="15522333"/>
          <a:ext cx="270101" cy="403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105</xdr:row>
      <xdr:rowOff>0</xdr:rowOff>
    </xdr:from>
    <xdr:to>
      <xdr:col>21</xdr:col>
      <xdr:colOff>0</xdr:colOff>
      <xdr:row>107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82559AB-358D-4388-90B1-5D9ACC72122C}"/>
            </a:ext>
          </a:extLst>
        </xdr:cNvPr>
        <xdr:cNvCxnSpPr/>
      </xdr:nvCxnSpPr>
      <xdr:spPr>
        <a:xfrm flipV="1">
          <a:off x="5403273" y="16486909"/>
          <a:ext cx="263236" cy="38792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101</xdr:row>
      <xdr:rowOff>0</xdr:rowOff>
    </xdr:from>
    <xdr:to>
      <xdr:col>25</xdr:col>
      <xdr:colOff>0</xdr:colOff>
      <xdr:row>102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87CCE377-A545-445F-9A58-63ED3EE6D61B}"/>
            </a:ext>
          </a:extLst>
        </xdr:cNvPr>
        <xdr:cNvCxnSpPr/>
      </xdr:nvCxnSpPr>
      <xdr:spPr>
        <a:xfrm flipV="1">
          <a:off x="6497782" y="15724909"/>
          <a:ext cx="263236" cy="193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103</xdr:row>
      <xdr:rowOff>102973</xdr:rowOff>
    </xdr:from>
    <xdr:to>
      <xdr:col>24</xdr:col>
      <xdr:colOff>281460</xdr:colOff>
      <xdr:row>103</xdr:row>
      <xdr:rowOff>102973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49FD09B0-80DB-4C50-959B-685141ED0502}"/>
            </a:ext>
          </a:extLst>
        </xdr:cNvPr>
        <xdr:cNvCxnSpPr/>
      </xdr:nvCxnSpPr>
      <xdr:spPr>
        <a:xfrm>
          <a:off x="6497782" y="16201955"/>
          <a:ext cx="2586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105</xdr:row>
      <xdr:rowOff>0</xdr:rowOff>
    </xdr:from>
    <xdr:to>
      <xdr:col>25</xdr:col>
      <xdr:colOff>0</xdr:colOff>
      <xdr:row>106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15DCD03F-4546-4E71-B3C5-6AF9604DCC43}"/>
            </a:ext>
          </a:extLst>
        </xdr:cNvPr>
        <xdr:cNvCxnSpPr/>
      </xdr:nvCxnSpPr>
      <xdr:spPr>
        <a:xfrm>
          <a:off x="6497782" y="16486909"/>
          <a:ext cx="263236" cy="1939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99</xdr:row>
      <xdr:rowOff>96108</xdr:rowOff>
    </xdr:from>
    <xdr:to>
      <xdr:col>29</xdr:col>
      <xdr:colOff>0</xdr:colOff>
      <xdr:row>99</xdr:row>
      <xdr:rowOff>102973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30F03A0B-0A02-4CD1-B103-D26A7965148A}"/>
            </a:ext>
          </a:extLst>
        </xdr:cNvPr>
        <xdr:cNvCxnSpPr/>
      </xdr:nvCxnSpPr>
      <xdr:spPr>
        <a:xfrm>
          <a:off x="7569200" y="15433090"/>
          <a:ext cx="300182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103</xdr:row>
      <xdr:rowOff>96108</xdr:rowOff>
    </xdr:from>
    <xdr:to>
      <xdr:col>29</xdr:col>
      <xdr:colOff>0</xdr:colOff>
      <xdr:row>104</xdr:row>
      <xdr:rowOff>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3B2C0D95-B21A-4109-8093-FCAACD025626}"/>
            </a:ext>
          </a:extLst>
        </xdr:cNvPr>
        <xdr:cNvCxnSpPr/>
      </xdr:nvCxnSpPr>
      <xdr:spPr>
        <a:xfrm>
          <a:off x="7606145" y="16195090"/>
          <a:ext cx="263237" cy="9785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107</xdr:row>
      <xdr:rowOff>0</xdr:rowOff>
    </xdr:from>
    <xdr:to>
      <xdr:col>29</xdr:col>
      <xdr:colOff>0</xdr:colOff>
      <xdr:row>107</xdr:row>
      <xdr:rowOff>102973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7EF2793-C7A7-4F96-A1E3-0DCAFC7E74E2}"/>
            </a:ext>
          </a:extLst>
        </xdr:cNvPr>
        <xdr:cNvCxnSpPr/>
      </xdr:nvCxnSpPr>
      <xdr:spPr>
        <a:xfrm flipV="1">
          <a:off x="7606145" y="16874836"/>
          <a:ext cx="263237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99</xdr:row>
      <xdr:rowOff>102973</xdr:rowOff>
    </xdr:from>
    <xdr:to>
      <xdr:col>33</xdr:col>
      <xdr:colOff>0</xdr:colOff>
      <xdr:row>101</xdr:row>
      <xdr:rowOff>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38702292-197E-43A3-9811-67212FA4F3B1}"/>
            </a:ext>
          </a:extLst>
        </xdr:cNvPr>
        <xdr:cNvCxnSpPr/>
      </xdr:nvCxnSpPr>
      <xdr:spPr>
        <a:xfrm>
          <a:off x="8686800" y="15439955"/>
          <a:ext cx="263236" cy="2849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104</xdr:row>
      <xdr:rowOff>0</xdr:rowOff>
    </xdr:from>
    <xdr:to>
      <xdr:col>33</xdr:col>
      <xdr:colOff>0</xdr:colOff>
      <xdr:row>105</xdr:row>
      <xdr:rowOff>102973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45FA21F1-207A-4472-A713-C367E182C88B}"/>
            </a:ext>
          </a:extLst>
        </xdr:cNvPr>
        <xdr:cNvCxnSpPr/>
      </xdr:nvCxnSpPr>
      <xdr:spPr>
        <a:xfrm flipV="1">
          <a:off x="8686800" y="16292945"/>
          <a:ext cx="263236" cy="29693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122</xdr:row>
      <xdr:rowOff>314</xdr:rowOff>
    </xdr:from>
    <xdr:to>
      <xdr:col>4</xdr:col>
      <xdr:colOff>255776</xdr:colOff>
      <xdr:row>123</xdr:row>
      <xdr:rowOff>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8F7246C-12EA-412D-8B0C-785013BB0012}"/>
            </a:ext>
          </a:extLst>
        </xdr:cNvPr>
        <xdr:cNvCxnSpPr/>
      </xdr:nvCxnSpPr>
      <xdr:spPr>
        <a:xfrm flipV="1">
          <a:off x="1238319" y="19758435"/>
          <a:ext cx="248972" cy="1921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125</xdr:row>
      <xdr:rowOff>186504</xdr:rowOff>
    </xdr:from>
    <xdr:to>
      <xdr:col>5</xdr:col>
      <xdr:colOff>5329</xdr:colOff>
      <xdr:row>127</xdr:row>
      <xdr:rowOff>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BB277804-D574-47FB-BC20-4E49B022B956}"/>
            </a:ext>
          </a:extLst>
        </xdr:cNvPr>
        <xdr:cNvCxnSpPr/>
      </xdr:nvCxnSpPr>
      <xdr:spPr>
        <a:xfrm>
          <a:off x="1236844" y="20521898"/>
          <a:ext cx="261697" cy="1983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120</xdr:row>
      <xdr:rowOff>85259</xdr:rowOff>
    </xdr:from>
    <xdr:to>
      <xdr:col>9</xdr:col>
      <xdr:colOff>5328</xdr:colOff>
      <xdr:row>120</xdr:row>
      <xdr:rowOff>90588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9CDF1FEA-3B7C-4B12-AB69-E6E02AB9CD35}"/>
            </a:ext>
          </a:extLst>
        </xdr:cNvPr>
        <xdr:cNvCxnSpPr/>
      </xdr:nvCxnSpPr>
      <xdr:spPr>
        <a:xfrm>
          <a:off x="2298434" y="19466229"/>
          <a:ext cx="277682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128</xdr:row>
      <xdr:rowOff>90588</xdr:rowOff>
    </xdr:from>
    <xdr:to>
      <xdr:col>9</xdr:col>
      <xdr:colOff>0</xdr:colOff>
      <xdr:row>128</xdr:row>
      <xdr:rowOff>95917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2B9DED9D-1C6C-4958-A474-D84EA2DC7FC3}"/>
            </a:ext>
          </a:extLst>
        </xdr:cNvPr>
        <xdr:cNvCxnSpPr/>
      </xdr:nvCxnSpPr>
      <xdr:spPr>
        <a:xfrm>
          <a:off x="2293105" y="21003255"/>
          <a:ext cx="277683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117</xdr:row>
      <xdr:rowOff>186503</xdr:rowOff>
    </xdr:from>
    <xdr:to>
      <xdr:col>13</xdr:col>
      <xdr:colOff>5328</xdr:colOff>
      <xdr:row>118</xdr:row>
      <xdr:rowOff>186503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9D5CD854-C0F1-47A2-8B44-FF34622059DD}"/>
            </a:ext>
          </a:extLst>
        </xdr:cNvPr>
        <xdr:cNvCxnSpPr/>
      </xdr:nvCxnSpPr>
      <xdr:spPr>
        <a:xfrm flipV="1">
          <a:off x="3386667" y="18990200"/>
          <a:ext cx="267025" cy="192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121</xdr:row>
      <xdr:rowOff>186503</xdr:rowOff>
    </xdr:from>
    <xdr:to>
      <xdr:col>12</xdr:col>
      <xdr:colOff>255776</xdr:colOff>
      <xdr:row>123</xdr:row>
      <xdr:rowOff>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3F100D8F-412A-4A29-A00A-9094EBC4B49A}"/>
            </a:ext>
          </a:extLst>
        </xdr:cNvPr>
        <xdr:cNvCxnSpPr/>
      </xdr:nvCxnSpPr>
      <xdr:spPr>
        <a:xfrm>
          <a:off x="3376009" y="19752200"/>
          <a:ext cx="266434" cy="19834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128</xdr:row>
      <xdr:rowOff>95916</xdr:rowOff>
    </xdr:from>
    <xdr:to>
      <xdr:col>13</xdr:col>
      <xdr:colOff>0</xdr:colOff>
      <xdr:row>128</xdr:row>
      <xdr:rowOff>101245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B26EE9FE-FA9B-4530-BD87-87EB9F30459A}"/>
            </a:ext>
          </a:extLst>
        </xdr:cNvPr>
        <xdr:cNvCxnSpPr/>
      </xdr:nvCxnSpPr>
      <xdr:spPr>
        <a:xfrm>
          <a:off x="3386667" y="21008583"/>
          <a:ext cx="261697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124</xdr:row>
      <xdr:rowOff>82378</xdr:rowOff>
    </xdr:from>
    <xdr:to>
      <xdr:col>17</xdr:col>
      <xdr:colOff>6865</xdr:colOff>
      <xdr:row>125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54A7A269-9688-4B31-8D7E-6F891C9B037F}"/>
            </a:ext>
          </a:extLst>
        </xdr:cNvPr>
        <xdr:cNvCxnSpPr/>
      </xdr:nvCxnSpPr>
      <xdr:spPr>
        <a:xfrm>
          <a:off x="4464242" y="20225348"/>
          <a:ext cx="268562" cy="11004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128</xdr:row>
      <xdr:rowOff>0</xdr:rowOff>
    </xdr:from>
    <xdr:to>
      <xdr:col>17</xdr:col>
      <xdr:colOff>0</xdr:colOff>
      <xdr:row>128</xdr:row>
      <xdr:rowOff>89243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BE062B3B-012A-4213-B9A3-8A08EBE74BC5}"/>
            </a:ext>
          </a:extLst>
        </xdr:cNvPr>
        <xdr:cNvCxnSpPr/>
      </xdr:nvCxnSpPr>
      <xdr:spPr>
        <a:xfrm flipV="1">
          <a:off x="4441152" y="20912667"/>
          <a:ext cx="284787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116</xdr:row>
      <xdr:rowOff>89243</xdr:rowOff>
    </xdr:from>
    <xdr:to>
      <xdr:col>17</xdr:col>
      <xdr:colOff>0</xdr:colOff>
      <xdr:row>116</xdr:row>
      <xdr:rowOff>89243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49522BB9-15E1-47FB-8DF5-080B4CDA2B4E}"/>
            </a:ext>
          </a:extLst>
        </xdr:cNvPr>
        <xdr:cNvCxnSpPr/>
      </xdr:nvCxnSpPr>
      <xdr:spPr>
        <a:xfrm>
          <a:off x="4441152" y="18708213"/>
          <a:ext cx="2847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117</xdr:row>
      <xdr:rowOff>185351</xdr:rowOff>
    </xdr:from>
    <xdr:to>
      <xdr:col>21</xdr:col>
      <xdr:colOff>6865</xdr:colOff>
      <xdr:row>120</xdr:row>
      <xdr:rowOff>6865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C3887BCC-CEA7-426E-BA18-D28FF9847F81}"/>
            </a:ext>
          </a:extLst>
        </xdr:cNvPr>
        <xdr:cNvCxnSpPr/>
      </xdr:nvCxnSpPr>
      <xdr:spPr>
        <a:xfrm>
          <a:off x="5541818" y="18989048"/>
          <a:ext cx="268562" cy="3987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123</xdr:row>
      <xdr:rowOff>0</xdr:rowOff>
    </xdr:from>
    <xdr:to>
      <xdr:col>21</xdr:col>
      <xdr:colOff>0</xdr:colOff>
      <xdr:row>125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10D4156-6EBB-49D8-ADF3-E2FD16A6322F}"/>
            </a:ext>
          </a:extLst>
        </xdr:cNvPr>
        <xdr:cNvCxnSpPr/>
      </xdr:nvCxnSpPr>
      <xdr:spPr>
        <a:xfrm flipV="1">
          <a:off x="5541818" y="19950545"/>
          <a:ext cx="261697" cy="3848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25</xdr:col>
      <xdr:colOff>0</xdr:colOff>
      <xdr:row>120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328CD0D1-DC20-478D-AA9E-9F24F23F6965}"/>
            </a:ext>
          </a:extLst>
        </xdr:cNvPr>
        <xdr:cNvCxnSpPr/>
      </xdr:nvCxnSpPr>
      <xdr:spPr>
        <a:xfrm flipV="1">
          <a:off x="6642485" y="19188545"/>
          <a:ext cx="261697" cy="19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121</xdr:row>
      <xdr:rowOff>102973</xdr:rowOff>
    </xdr:from>
    <xdr:to>
      <xdr:col>24</xdr:col>
      <xdr:colOff>281460</xdr:colOff>
      <xdr:row>121</xdr:row>
      <xdr:rowOff>102973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7BADA58E-89D3-40E7-B34B-8AA130B2ECCB}"/>
            </a:ext>
          </a:extLst>
        </xdr:cNvPr>
        <xdr:cNvCxnSpPr/>
      </xdr:nvCxnSpPr>
      <xdr:spPr>
        <a:xfrm>
          <a:off x="6642485" y="19668670"/>
          <a:ext cx="2586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123</xdr:row>
      <xdr:rowOff>0</xdr:rowOff>
    </xdr:from>
    <xdr:to>
      <xdr:col>25</xdr:col>
      <xdr:colOff>0</xdr:colOff>
      <xdr:row>124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A7A5196-B08E-4E96-B2E3-E6771E1AAD62}"/>
            </a:ext>
          </a:extLst>
        </xdr:cNvPr>
        <xdr:cNvCxnSpPr/>
      </xdr:nvCxnSpPr>
      <xdr:spPr>
        <a:xfrm>
          <a:off x="6642485" y="19950545"/>
          <a:ext cx="261697" cy="1924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117</xdr:row>
      <xdr:rowOff>96108</xdr:rowOff>
    </xdr:from>
    <xdr:to>
      <xdr:col>29</xdr:col>
      <xdr:colOff>0</xdr:colOff>
      <xdr:row>117</xdr:row>
      <xdr:rowOff>102973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5C16630D-D7BA-4FAC-B284-E2625B19004A}"/>
            </a:ext>
          </a:extLst>
        </xdr:cNvPr>
        <xdr:cNvCxnSpPr/>
      </xdr:nvCxnSpPr>
      <xdr:spPr>
        <a:xfrm>
          <a:off x="7720061" y="18899805"/>
          <a:ext cx="307878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121</xdr:row>
      <xdr:rowOff>96108</xdr:rowOff>
    </xdr:from>
    <xdr:to>
      <xdr:col>29</xdr:col>
      <xdr:colOff>0</xdr:colOff>
      <xdr:row>122</xdr:row>
      <xdr:rowOff>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CF380E21-E5D1-4EF1-B33E-1DACB84E1665}"/>
            </a:ext>
          </a:extLst>
        </xdr:cNvPr>
        <xdr:cNvCxnSpPr/>
      </xdr:nvCxnSpPr>
      <xdr:spPr>
        <a:xfrm>
          <a:off x="7766242" y="19661805"/>
          <a:ext cx="261697" cy="9631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125</xdr:row>
      <xdr:rowOff>0</xdr:rowOff>
    </xdr:from>
    <xdr:to>
      <xdr:col>29</xdr:col>
      <xdr:colOff>0</xdr:colOff>
      <xdr:row>125</xdr:row>
      <xdr:rowOff>102973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359868E9-96D0-4F5D-9272-58604F763E7F}"/>
            </a:ext>
          </a:extLst>
        </xdr:cNvPr>
        <xdr:cNvCxnSpPr/>
      </xdr:nvCxnSpPr>
      <xdr:spPr>
        <a:xfrm flipV="1">
          <a:off x="7766242" y="20335394"/>
          <a:ext cx="261697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117</xdr:row>
      <xdr:rowOff>102973</xdr:rowOff>
    </xdr:from>
    <xdr:to>
      <xdr:col>33</xdr:col>
      <xdr:colOff>0</xdr:colOff>
      <xdr:row>119</xdr:row>
      <xdr:rowOff>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F99515B-52FB-4CC4-82A9-CF05F56FB433}"/>
            </a:ext>
          </a:extLst>
        </xdr:cNvPr>
        <xdr:cNvCxnSpPr/>
      </xdr:nvCxnSpPr>
      <xdr:spPr>
        <a:xfrm>
          <a:off x="8843818" y="18906670"/>
          <a:ext cx="261697" cy="281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122</xdr:row>
      <xdr:rowOff>0</xdr:rowOff>
    </xdr:from>
    <xdr:to>
      <xdr:col>33</xdr:col>
      <xdr:colOff>0</xdr:colOff>
      <xdr:row>123</xdr:row>
      <xdr:rowOff>102973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716F3CD3-8767-4CBE-8F40-994A52F8B756}"/>
            </a:ext>
          </a:extLst>
        </xdr:cNvPr>
        <xdr:cNvCxnSpPr/>
      </xdr:nvCxnSpPr>
      <xdr:spPr>
        <a:xfrm flipV="1">
          <a:off x="8843818" y="19758121"/>
          <a:ext cx="261697" cy="29539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6804</xdr:colOff>
      <xdr:row>140</xdr:row>
      <xdr:rowOff>314</xdr:rowOff>
    </xdr:from>
    <xdr:to>
      <xdr:col>4</xdr:col>
      <xdr:colOff>255776</xdr:colOff>
      <xdr:row>141</xdr:row>
      <xdr:rowOff>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896ABCF3-576D-4D0F-8D8F-72C41C1A0346}"/>
            </a:ext>
          </a:extLst>
        </xdr:cNvPr>
        <xdr:cNvCxnSpPr/>
      </xdr:nvCxnSpPr>
      <xdr:spPr>
        <a:xfrm flipV="1">
          <a:off x="1234096" y="22779394"/>
          <a:ext cx="248972" cy="18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5329</xdr:colOff>
      <xdr:row>143</xdr:row>
      <xdr:rowOff>186504</xdr:rowOff>
    </xdr:from>
    <xdr:to>
      <xdr:col>5</xdr:col>
      <xdr:colOff>5329</xdr:colOff>
      <xdr:row>145</xdr:row>
      <xdr:rowOff>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4AD12E4D-99DA-402A-BB8C-58A5265E3E1D}"/>
            </a:ext>
          </a:extLst>
        </xdr:cNvPr>
        <xdr:cNvCxnSpPr/>
      </xdr:nvCxnSpPr>
      <xdr:spPr>
        <a:xfrm>
          <a:off x="1232621" y="23532026"/>
          <a:ext cx="256248" cy="19112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266434</xdr:colOff>
      <xdr:row>138</xdr:row>
      <xdr:rowOff>85259</xdr:rowOff>
    </xdr:from>
    <xdr:to>
      <xdr:col>9</xdr:col>
      <xdr:colOff>5328</xdr:colOff>
      <xdr:row>138</xdr:row>
      <xdr:rowOff>90588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2EE542D3-3BCD-4D29-B3F8-B0D4D650270B}"/>
            </a:ext>
          </a:extLst>
        </xdr:cNvPr>
        <xdr:cNvCxnSpPr/>
      </xdr:nvCxnSpPr>
      <xdr:spPr>
        <a:xfrm>
          <a:off x="2282699" y="22493454"/>
          <a:ext cx="271620" cy="5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261105</xdr:colOff>
      <xdr:row>146</xdr:row>
      <xdr:rowOff>90588</xdr:rowOff>
    </xdr:from>
    <xdr:to>
      <xdr:col>9</xdr:col>
      <xdr:colOff>0</xdr:colOff>
      <xdr:row>146</xdr:row>
      <xdr:rowOff>95917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65A63909-7BE8-49E7-A293-7E0B0E6748FE}"/>
            </a:ext>
          </a:extLst>
        </xdr:cNvPr>
        <xdr:cNvCxnSpPr/>
      </xdr:nvCxnSpPr>
      <xdr:spPr>
        <a:xfrm>
          <a:off x="2277370" y="24002553"/>
          <a:ext cx="271621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135</xdr:row>
      <xdr:rowOff>186503</xdr:rowOff>
    </xdr:from>
    <xdr:to>
      <xdr:col>13</xdr:col>
      <xdr:colOff>5328</xdr:colOff>
      <xdr:row>136</xdr:row>
      <xdr:rowOff>186503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4E515490-26FB-47F1-BEA0-A1ABA4CB4A1B}"/>
            </a:ext>
          </a:extLst>
        </xdr:cNvPr>
        <xdr:cNvCxnSpPr/>
      </xdr:nvCxnSpPr>
      <xdr:spPr>
        <a:xfrm flipV="1">
          <a:off x="3358195" y="22028255"/>
          <a:ext cx="261575" cy="188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266433</xdr:colOff>
      <xdr:row>139</xdr:row>
      <xdr:rowOff>186503</xdr:rowOff>
    </xdr:from>
    <xdr:to>
      <xdr:col>12</xdr:col>
      <xdr:colOff>255776</xdr:colOff>
      <xdr:row>141</xdr:row>
      <xdr:rowOff>0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FAB3C222-0FDC-4CF4-BD64-F2A4E083A18D}"/>
            </a:ext>
          </a:extLst>
        </xdr:cNvPr>
        <xdr:cNvCxnSpPr/>
      </xdr:nvCxnSpPr>
      <xdr:spPr>
        <a:xfrm>
          <a:off x="3348150" y="22776768"/>
          <a:ext cx="265821" cy="1911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146</xdr:row>
      <xdr:rowOff>95916</xdr:rowOff>
    </xdr:from>
    <xdr:to>
      <xdr:col>13</xdr:col>
      <xdr:colOff>0</xdr:colOff>
      <xdr:row>146</xdr:row>
      <xdr:rowOff>101245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4C2FE7F5-77B9-428B-9221-39C21CF60368}"/>
            </a:ext>
          </a:extLst>
        </xdr:cNvPr>
        <xdr:cNvCxnSpPr/>
      </xdr:nvCxnSpPr>
      <xdr:spPr>
        <a:xfrm>
          <a:off x="3358195" y="24007881"/>
          <a:ext cx="256247" cy="532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142</xdr:row>
      <xdr:rowOff>82378</xdr:rowOff>
    </xdr:from>
    <xdr:to>
      <xdr:col>17</xdr:col>
      <xdr:colOff>6865</xdr:colOff>
      <xdr:row>143</xdr:row>
      <xdr:rowOff>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570A10C9-402E-496E-8943-F7C5C46AB82C}"/>
            </a:ext>
          </a:extLst>
        </xdr:cNvPr>
        <xdr:cNvCxnSpPr/>
      </xdr:nvCxnSpPr>
      <xdr:spPr>
        <a:xfrm>
          <a:off x="4423646" y="23239086"/>
          <a:ext cx="263113" cy="1064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146</xdr:row>
      <xdr:rowOff>0</xdr:rowOff>
    </xdr:from>
    <xdr:to>
      <xdr:col>17</xdr:col>
      <xdr:colOff>0</xdr:colOff>
      <xdr:row>146</xdr:row>
      <xdr:rowOff>89243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681FF0EA-D113-4ACB-B52A-B99423985B2D}"/>
            </a:ext>
          </a:extLst>
        </xdr:cNvPr>
        <xdr:cNvCxnSpPr/>
      </xdr:nvCxnSpPr>
      <xdr:spPr>
        <a:xfrm flipV="1">
          <a:off x="4401168" y="23911965"/>
          <a:ext cx="278726" cy="892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254000</xdr:colOff>
      <xdr:row>134</xdr:row>
      <xdr:rowOff>89243</xdr:rowOff>
    </xdr:from>
    <xdr:to>
      <xdr:col>17</xdr:col>
      <xdr:colOff>0</xdr:colOff>
      <xdr:row>134</xdr:row>
      <xdr:rowOff>89243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720B7C39-F7A6-4795-B2A7-196A228BB441}"/>
            </a:ext>
          </a:extLst>
        </xdr:cNvPr>
        <xdr:cNvCxnSpPr/>
      </xdr:nvCxnSpPr>
      <xdr:spPr>
        <a:xfrm>
          <a:off x="4401168" y="21748924"/>
          <a:ext cx="2787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135</xdr:row>
      <xdr:rowOff>185351</xdr:rowOff>
    </xdr:from>
    <xdr:to>
      <xdr:col>21</xdr:col>
      <xdr:colOff>6865</xdr:colOff>
      <xdr:row>138</xdr:row>
      <xdr:rowOff>6865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30BC59E6-C214-41FA-8B69-2084D3AC317A}"/>
            </a:ext>
          </a:extLst>
        </xdr:cNvPr>
        <xdr:cNvCxnSpPr/>
      </xdr:nvCxnSpPr>
      <xdr:spPr>
        <a:xfrm>
          <a:off x="5489097" y="22027103"/>
          <a:ext cx="263113" cy="3879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141</xdr:row>
      <xdr:rowOff>0</xdr:rowOff>
    </xdr:from>
    <xdr:to>
      <xdr:col>21</xdr:col>
      <xdr:colOff>0</xdr:colOff>
      <xdr:row>143</xdr:row>
      <xdr:rowOff>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78C2EC73-3998-4B40-BB0F-2ABFF6977B98}"/>
            </a:ext>
          </a:extLst>
        </xdr:cNvPr>
        <xdr:cNvCxnSpPr/>
      </xdr:nvCxnSpPr>
      <xdr:spPr>
        <a:xfrm flipV="1">
          <a:off x="5489097" y="22967894"/>
          <a:ext cx="256248" cy="37762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137</xdr:row>
      <xdr:rowOff>0</xdr:rowOff>
    </xdr:from>
    <xdr:to>
      <xdr:col>25</xdr:col>
      <xdr:colOff>0</xdr:colOff>
      <xdr:row>138</xdr:row>
      <xdr:rowOff>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BF08D808-1073-40DE-9DCF-432478CF1374}"/>
            </a:ext>
          </a:extLst>
        </xdr:cNvPr>
        <xdr:cNvCxnSpPr/>
      </xdr:nvCxnSpPr>
      <xdr:spPr>
        <a:xfrm flipV="1">
          <a:off x="6574779" y="22219381"/>
          <a:ext cx="256248" cy="188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139</xdr:row>
      <xdr:rowOff>102973</xdr:rowOff>
    </xdr:from>
    <xdr:to>
      <xdr:col>24</xdr:col>
      <xdr:colOff>281460</xdr:colOff>
      <xdr:row>139</xdr:row>
      <xdr:rowOff>102973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4446FDF9-E969-4FA1-A40E-910EFA6A265A}"/>
            </a:ext>
          </a:extLst>
        </xdr:cNvPr>
        <xdr:cNvCxnSpPr/>
      </xdr:nvCxnSpPr>
      <xdr:spPr>
        <a:xfrm>
          <a:off x="6574779" y="22693238"/>
          <a:ext cx="2586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141</xdr:row>
      <xdr:rowOff>0</xdr:rowOff>
    </xdr:from>
    <xdr:to>
      <xdr:col>25</xdr:col>
      <xdr:colOff>0</xdr:colOff>
      <xdr:row>142</xdr:row>
      <xdr:rowOff>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A80DB122-2730-493B-9CDF-99183E30F556}"/>
            </a:ext>
          </a:extLst>
        </xdr:cNvPr>
        <xdr:cNvCxnSpPr/>
      </xdr:nvCxnSpPr>
      <xdr:spPr>
        <a:xfrm>
          <a:off x="6574779" y="22967894"/>
          <a:ext cx="256248" cy="18881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254000</xdr:colOff>
      <xdr:row>135</xdr:row>
      <xdr:rowOff>96108</xdr:rowOff>
    </xdr:from>
    <xdr:to>
      <xdr:col>29</xdr:col>
      <xdr:colOff>0</xdr:colOff>
      <xdr:row>135</xdr:row>
      <xdr:rowOff>102973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31D36310-D84D-465E-9D4F-38FBEB3E4B0A}"/>
            </a:ext>
          </a:extLst>
        </xdr:cNvPr>
        <xdr:cNvCxnSpPr/>
      </xdr:nvCxnSpPr>
      <xdr:spPr>
        <a:xfrm>
          <a:off x="7637982" y="21937860"/>
          <a:ext cx="298956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139</xdr:row>
      <xdr:rowOff>96108</xdr:rowOff>
    </xdr:from>
    <xdr:to>
      <xdr:col>29</xdr:col>
      <xdr:colOff>0</xdr:colOff>
      <xdr:row>140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8627DFD2-B375-4076-989A-8B066CDBCC2F}"/>
            </a:ext>
          </a:extLst>
        </xdr:cNvPr>
        <xdr:cNvCxnSpPr/>
      </xdr:nvCxnSpPr>
      <xdr:spPr>
        <a:xfrm>
          <a:off x="7680690" y="22686373"/>
          <a:ext cx="256248" cy="9270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143</xdr:row>
      <xdr:rowOff>0</xdr:rowOff>
    </xdr:from>
    <xdr:to>
      <xdr:col>29</xdr:col>
      <xdr:colOff>0</xdr:colOff>
      <xdr:row>143</xdr:row>
      <xdr:rowOff>102973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EC46E591-5784-4996-8C23-FB907DBC7417}"/>
            </a:ext>
          </a:extLst>
        </xdr:cNvPr>
        <xdr:cNvCxnSpPr/>
      </xdr:nvCxnSpPr>
      <xdr:spPr>
        <a:xfrm flipV="1">
          <a:off x="7680690" y="23345522"/>
          <a:ext cx="256248" cy="10297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135</xdr:row>
      <xdr:rowOff>102973</xdr:rowOff>
    </xdr:from>
    <xdr:to>
      <xdr:col>33</xdr:col>
      <xdr:colOff>0</xdr:colOff>
      <xdr:row>137</xdr:row>
      <xdr:rowOff>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E907087D-0472-47BE-9DFA-E419C55B6879}"/>
            </a:ext>
          </a:extLst>
        </xdr:cNvPr>
        <xdr:cNvCxnSpPr/>
      </xdr:nvCxnSpPr>
      <xdr:spPr>
        <a:xfrm>
          <a:off x="8746142" y="21944725"/>
          <a:ext cx="256247" cy="274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140</xdr:row>
      <xdr:rowOff>0</xdr:rowOff>
    </xdr:from>
    <xdr:to>
      <xdr:col>33</xdr:col>
      <xdr:colOff>0</xdr:colOff>
      <xdr:row>141</xdr:row>
      <xdr:rowOff>102973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78E62E3F-814D-4BDD-9350-0430A65D2A46}"/>
            </a:ext>
          </a:extLst>
        </xdr:cNvPr>
        <xdr:cNvCxnSpPr/>
      </xdr:nvCxnSpPr>
      <xdr:spPr>
        <a:xfrm flipV="1">
          <a:off x="8746142" y="22779080"/>
          <a:ext cx="256247" cy="29178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54EF-4FAC-434D-BAF4-4854FB455692}">
  <dimension ref="A1:HH68"/>
  <sheetViews>
    <sheetView zoomScale="50" zoomScaleNormal="83" workbookViewId="0">
      <pane xSplit="1" topLeftCell="B1" activePane="topRight" state="frozen"/>
      <selection pane="topRight" activeCell="F77" sqref="F77"/>
    </sheetView>
  </sheetViews>
  <sheetFormatPr defaultColWidth="2.77734375" defaultRowHeight="14.4" x14ac:dyDescent="0.3"/>
  <cols>
    <col min="1" max="1" width="7.77734375" style="10" bestFit="1" customWidth="1"/>
    <col min="2" max="2" width="10.6640625" style="10" bestFit="1" customWidth="1"/>
    <col min="3" max="3" width="22.33203125" style="10" bestFit="1" customWidth="1"/>
    <col min="4" max="4" width="42.77734375" style="10" bestFit="1" customWidth="1"/>
    <col min="5" max="5" width="13" style="10" bestFit="1" customWidth="1"/>
    <col min="6" max="6" width="30.6640625" style="10" bestFit="1" customWidth="1"/>
    <col min="7" max="7" width="2.33203125" style="10" bestFit="1" customWidth="1"/>
    <col min="8" max="25" width="3.44140625" style="10" bestFit="1" customWidth="1"/>
    <col min="26" max="48" width="4.44140625" style="10" bestFit="1" customWidth="1"/>
    <col min="49" max="105" width="3.44140625" style="10" bestFit="1" customWidth="1"/>
    <col min="106" max="216" width="4.44140625" style="10" bestFit="1" customWidth="1"/>
    <col min="217" max="16384" width="2.77734375" style="10"/>
  </cols>
  <sheetData>
    <row r="1" spans="1:216" x14ac:dyDescent="0.3">
      <c r="A1" s="10" t="s">
        <v>44</v>
      </c>
      <c r="B1" s="10" t="s">
        <v>43</v>
      </c>
      <c r="C1" s="10" t="s">
        <v>42</v>
      </c>
      <c r="D1" s="10" t="s">
        <v>41</v>
      </c>
      <c r="E1" s="10" t="s">
        <v>40</v>
      </c>
      <c r="F1" s="10" t="s">
        <v>39</v>
      </c>
      <c r="G1" s="10">
        <v>1</v>
      </c>
      <c r="H1" s="10">
        <v>2</v>
      </c>
      <c r="I1" s="10">
        <v>3</v>
      </c>
      <c r="J1" s="10">
        <v>4</v>
      </c>
      <c r="K1" s="10">
        <v>5</v>
      </c>
      <c r="L1" s="10">
        <v>6</v>
      </c>
      <c r="M1" s="10">
        <v>7</v>
      </c>
      <c r="N1" s="10">
        <v>8</v>
      </c>
      <c r="O1" s="10">
        <v>9</v>
      </c>
      <c r="P1" s="10">
        <v>10</v>
      </c>
      <c r="Q1" s="10">
        <v>11</v>
      </c>
      <c r="R1" s="10">
        <v>12</v>
      </c>
      <c r="S1" s="10">
        <v>13</v>
      </c>
      <c r="T1" s="10">
        <v>14</v>
      </c>
      <c r="U1" s="10">
        <v>15</v>
      </c>
      <c r="V1" s="10">
        <v>16</v>
      </c>
      <c r="W1" s="10">
        <v>17</v>
      </c>
      <c r="X1" s="10">
        <v>18</v>
      </c>
      <c r="Y1" s="10">
        <v>19</v>
      </c>
      <c r="Z1" s="10">
        <v>20</v>
      </c>
      <c r="AA1" s="10">
        <v>21</v>
      </c>
      <c r="AB1" s="10">
        <v>22</v>
      </c>
      <c r="AC1" s="10">
        <v>23</v>
      </c>
      <c r="AD1" s="10">
        <v>24</v>
      </c>
      <c r="AE1" s="10">
        <v>25</v>
      </c>
      <c r="AF1" s="10">
        <v>26</v>
      </c>
      <c r="AG1" s="10">
        <v>27</v>
      </c>
      <c r="AH1" s="10">
        <v>28</v>
      </c>
      <c r="AI1" s="10">
        <v>29</v>
      </c>
      <c r="AJ1" s="10">
        <v>30</v>
      </c>
      <c r="AK1" s="10">
        <v>31</v>
      </c>
      <c r="AL1" s="10">
        <v>32</v>
      </c>
      <c r="AM1" s="10">
        <v>33</v>
      </c>
      <c r="AN1" s="10">
        <v>34</v>
      </c>
      <c r="AO1" s="10">
        <v>35</v>
      </c>
      <c r="AP1" s="10">
        <v>36</v>
      </c>
      <c r="AQ1" s="10">
        <v>37</v>
      </c>
      <c r="AR1" s="10">
        <v>38</v>
      </c>
      <c r="AS1" s="10">
        <v>39</v>
      </c>
      <c r="AT1" s="10">
        <v>40</v>
      </c>
      <c r="AU1" s="10">
        <v>41</v>
      </c>
      <c r="AV1" s="10">
        <v>42</v>
      </c>
      <c r="AW1" s="10">
        <v>43</v>
      </c>
      <c r="AX1" s="10">
        <v>44</v>
      </c>
      <c r="AY1" s="10">
        <v>45</v>
      </c>
      <c r="AZ1" s="10">
        <v>46</v>
      </c>
      <c r="BA1" s="10">
        <v>47</v>
      </c>
      <c r="BB1" s="10">
        <v>48</v>
      </c>
      <c r="BC1" s="10">
        <v>49</v>
      </c>
      <c r="BD1" s="10">
        <v>50</v>
      </c>
      <c r="BE1" s="10">
        <v>51</v>
      </c>
      <c r="BF1" s="10">
        <v>52</v>
      </c>
      <c r="BG1" s="10">
        <v>53</v>
      </c>
      <c r="BH1" s="10">
        <v>54</v>
      </c>
      <c r="BI1" s="10">
        <v>55</v>
      </c>
      <c r="BJ1" s="10">
        <v>56</v>
      </c>
      <c r="BK1" s="10">
        <v>57</v>
      </c>
      <c r="BL1" s="10">
        <v>58</v>
      </c>
      <c r="BM1" s="10">
        <v>59</v>
      </c>
      <c r="BN1" s="10">
        <v>60</v>
      </c>
      <c r="BO1" s="10">
        <v>61</v>
      </c>
      <c r="BP1" s="10">
        <v>62</v>
      </c>
      <c r="BQ1" s="10">
        <v>63</v>
      </c>
      <c r="BR1" s="10">
        <v>64</v>
      </c>
      <c r="BS1" s="10">
        <v>65</v>
      </c>
      <c r="BT1" s="10">
        <v>66</v>
      </c>
      <c r="BU1" s="10">
        <v>67</v>
      </c>
      <c r="BV1" s="10">
        <v>68</v>
      </c>
      <c r="BW1" s="10">
        <v>69</v>
      </c>
      <c r="BX1" s="10">
        <v>70</v>
      </c>
      <c r="BY1" s="10">
        <v>71</v>
      </c>
      <c r="BZ1" s="10">
        <v>72</v>
      </c>
      <c r="CA1" s="10">
        <v>73</v>
      </c>
      <c r="CB1" s="10">
        <v>74</v>
      </c>
      <c r="CC1" s="10">
        <v>75</v>
      </c>
      <c r="CD1" s="10">
        <v>76</v>
      </c>
      <c r="CE1" s="10">
        <v>77</v>
      </c>
      <c r="CF1" s="10">
        <v>78</v>
      </c>
      <c r="CG1" s="10">
        <v>79</v>
      </c>
      <c r="CH1" s="10">
        <v>80</v>
      </c>
      <c r="CI1" s="10">
        <v>81</v>
      </c>
      <c r="CJ1" s="10">
        <v>82</v>
      </c>
      <c r="CK1" s="10">
        <v>83</v>
      </c>
      <c r="CL1" s="10">
        <v>84</v>
      </c>
      <c r="CM1" s="10">
        <v>85</v>
      </c>
      <c r="CN1" s="10">
        <v>86</v>
      </c>
      <c r="CO1" s="10">
        <v>87</v>
      </c>
      <c r="CP1" s="10">
        <v>88</v>
      </c>
      <c r="CQ1" s="10">
        <v>89</v>
      </c>
      <c r="CR1" s="10">
        <v>90</v>
      </c>
      <c r="CS1" s="10">
        <v>91</v>
      </c>
      <c r="CT1" s="10">
        <v>92</v>
      </c>
      <c r="CU1" s="10">
        <v>93</v>
      </c>
      <c r="CV1" s="10">
        <v>94</v>
      </c>
      <c r="CW1" s="10">
        <v>95</v>
      </c>
      <c r="CX1" s="10">
        <v>96</v>
      </c>
      <c r="CY1" s="10">
        <v>97</v>
      </c>
      <c r="CZ1" s="10">
        <v>98</v>
      </c>
      <c r="DA1" s="10">
        <v>99</v>
      </c>
      <c r="DB1" s="10">
        <v>100</v>
      </c>
      <c r="DC1" s="10">
        <v>101</v>
      </c>
      <c r="DD1" s="10">
        <v>102</v>
      </c>
      <c r="DE1" s="10">
        <v>103</v>
      </c>
      <c r="DF1" s="10">
        <v>104</v>
      </c>
      <c r="DG1" s="10">
        <v>105</v>
      </c>
      <c r="DH1" s="10">
        <v>106</v>
      </c>
      <c r="DI1" s="10">
        <v>107</v>
      </c>
      <c r="DJ1" s="10">
        <v>108</v>
      </c>
      <c r="DK1" s="10">
        <v>109</v>
      </c>
      <c r="DL1" s="10">
        <v>110</v>
      </c>
      <c r="DM1" s="10">
        <v>111</v>
      </c>
      <c r="DN1" s="10">
        <v>112</v>
      </c>
      <c r="DO1" s="10">
        <v>113</v>
      </c>
      <c r="DP1" s="10">
        <v>114</v>
      </c>
      <c r="DQ1" s="10">
        <v>115</v>
      </c>
      <c r="DR1" s="10">
        <v>116</v>
      </c>
      <c r="DS1" s="10">
        <v>117</v>
      </c>
      <c r="DT1" s="10">
        <v>118</v>
      </c>
      <c r="DU1" s="10">
        <v>119</v>
      </c>
      <c r="DV1" s="10">
        <v>120</v>
      </c>
      <c r="DW1" s="10">
        <v>121</v>
      </c>
      <c r="DX1" s="10">
        <v>122</v>
      </c>
      <c r="DY1" s="10">
        <v>123</v>
      </c>
      <c r="DZ1" s="10">
        <v>124</v>
      </c>
      <c r="EA1" s="10">
        <v>125</v>
      </c>
      <c r="EB1" s="10">
        <v>126</v>
      </c>
      <c r="EC1" s="10">
        <v>127</v>
      </c>
      <c r="ED1" s="10">
        <v>128</v>
      </c>
      <c r="EE1" s="10">
        <v>129</v>
      </c>
      <c r="EF1" s="10">
        <v>130</v>
      </c>
      <c r="EG1" s="10">
        <v>131</v>
      </c>
      <c r="EH1" s="10">
        <v>132</v>
      </c>
      <c r="EI1" s="10">
        <v>133</v>
      </c>
      <c r="EJ1" s="10">
        <v>134</v>
      </c>
      <c r="EK1" s="10">
        <v>135</v>
      </c>
      <c r="EL1" s="10">
        <v>136</v>
      </c>
      <c r="EM1" s="10">
        <v>137</v>
      </c>
      <c r="EN1" s="10">
        <v>138</v>
      </c>
      <c r="EO1" s="10">
        <v>139</v>
      </c>
      <c r="EP1" s="10">
        <v>140</v>
      </c>
      <c r="EQ1" s="10">
        <v>141</v>
      </c>
      <c r="ER1" s="10">
        <v>142</v>
      </c>
      <c r="ES1" s="10">
        <v>143</v>
      </c>
      <c r="ET1" s="10">
        <v>144</v>
      </c>
      <c r="EU1" s="10">
        <v>145</v>
      </c>
      <c r="EV1" s="10">
        <v>146</v>
      </c>
      <c r="EW1" s="10">
        <v>147</v>
      </c>
      <c r="EX1" s="10">
        <v>148</v>
      </c>
      <c r="EY1" s="10">
        <v>149</v>
      </c>
      <c r="EZ1" s="10">
        <v>150</v>
      </c>
      <c r="FA1" s="10">
        <v>151</v>
      </c>
      <c r="FB1" s="10">
        <v>152</v>
      </c>
      <c r="FC1" s="10">
        <v>153</v>
      </c>
      <c r="FD1" s="10">
        <v>154</v>
      </c>
      <c r="FE1" s="10">
        <v>155</v>
      </c>
      <c r="FF1" s="10">
        <v>156</v>
      </c>
      <c r="FG1" s="10">
        <v>157</v>
      </c>
      <c r="FH1" s="10">
        <v>158</v>
      </c>
      <c r="FI1" s="10">
        <v>159</v>
      </c>
      <c r="FJ1" s="10">
        <v>160</v>
      </c>
      <c r="FK1" s="10">
        <v>161</v>
      </c>
      <c r="FL1" s="10">
        <v>162</v>
      </c>
      <c r="FM1" s="10">
        <v>163</v>
      </c>
      <c r="FN1" s="10">
        <v>164</v>
      </c>
      <c r="FO1" s="10">
        <v>165</v>
      </c>
      <c r="FP1" s="10">
        <v>166</v>
      </c>
      <c r="FQ1" s="10">
        <v>167</v>
      </c>
      <c r="FR1" s="10">
        <v>168</v>
      </c>
      <c r="FS1" s="10">
        <v>169</v>
      </c>
      <c r="FT1" s="10">
        <v>170</v>
      </c>
      <c r="FU1" s="10">
        <v>171</v>
      </c>
      <c r="FV1" s="10">
        <v>172</v>
      </c>
      <c r="FW1" s="10">
        <v>173</v>
      </c>
      <c r="FX1" s="10">
        <v>174</v>
      </c>
      <c r="FY1" s="10">
        <v>175</v>
      </c>
      <c r="FZ1" s="10">
        <v>176</v>
      </c>
      <c r="GA1" s="10">
        <v>177</v>
      </c>
      <c r="GB1" s="10">
        <v>178</v>
      </c>
      <c r="GC1" s="10">
        <v>179</v>
      </c>
      <c r="GD1" s="10">
        <v>180</v>
      </c>
      <c r="GE1" s="10">
        <v>181</v>
      </c>
      <c r="GF1" s="10">
        <v>182</v>
      </c>
      <c r="GG1" s="10">
        <v>183</v>
      </c>
      <c r="GH1" s="10">
        <v>184</v>
      </c>
      <c r="GI1" s="10">
        <v>185</v>
      </c>
      <c r="GJ1" s="10">
        <v>186</v>
      </c>
      <c r="GK1" s="10">
        <v>187</v>
      </c>
      <c r="GL1" s="10">
        <v>188</v>
      </c>
      <c r="GM1" s="10">
        <v>189</v>
      </c>
      <c r="GN1" s="10">
        <v>190</v>
      </c>
      <c r="GO1" s="10">
        <v>191</v>
      </c>
      <c r="GP1" s="10">
        <v>192</v>
      </c>
      <c r="GQ1" s="10">
        <v>193</v>
      </c>
      <c r="GR1" s="10">
        <v>194</v>
      </c>
      <c r="GS1" s="10">
        <v>195</v>
      </c>
      <c r="GT1" s="10">
        <v>196</v>
      </c>
      <c r="GU1" s="10">
        <v>197</v>
      </c>
      <c r="GV1" s="10">
        <v>198</v>
      </c>
      <c r="GW1" s="10">
        <v>199</v>
      </c>
      <c r="GX1" s="10">
        <v>200</v>
      </c>
      <c r="GY1" s="10">
        <v>201</v>
      </c>
      <c r="GZ1" s="10">
        <v>202</v>
      </c>
      <c r="HA1" s="10">
        <v>203</v>
      </c>
      <c r="HB1" s="10">
        <v>204</v>
      </c>
      <c r="HC1" s="10">
        <v>205</v>
      </c>
      <c r="HD1" s="10">
        <v>206</v>
      </c>
      <c r="HE1" s="10">
        <v>207</v>
      </c>
      <c r="HF1" s="10">
        <v>208</v>
      </c>
      <c r="HG1" s="10">
        <v>209</v>
      </c>
      <c r="HH1" s="10">
        <v>210</v>
      </c>
    </row>
    <row r="2" spans="1:216" x14ac:dyDescent="0.3">
      <c r="A2" s="10" t="s">
        <v>34</v>
      </c>
      <c r="B2" s="10" t="s">
        <v>38</v>
      </c>
      <c r="C2" s="10">
        <v>14</v>
      </c>
      <c r="D2" s="10">
        <v>14</v>
      </c>
      <c r="E2" s="10" t="s">
        <v>37</v>
      </c>
      <c r="F2" s="10" t="s">
        <v>24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16" x14ac:dyDescent="0.3">
      <c r="A3" s="10" t="s">
        <v>35</v>
      </c>
      <c r="B3" s="10" t="s">
        <v>34</v>
      </c>
      <c r="C3" s="10">
        <v>16</v>
      </c>
      <c r="D3" s="10">
        <v>14</v>
      </c>
      <c r="E3" s="10" t="s">
        <v>36</v>
      </c>
      <c r="F3" s="10" t="s">
        <v>24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216" x14ac:dyDescent="0.3">
      <c r="A4" s="10" t="s">
        <v>28</v>
      </c>
      <c r="B4" s="10" t="s">
        <v>35</v>
      </c>
      <c r="C4" s="10">
        <v>8</v>
      </c>
      <c r="D4" s="10">
        <v>8</v>
      </c>
      <c r="E4" s="10" t="s">
        <v>10</v>
      </c>
      <c r="F4" s="10" t="s">
        <v>24</v>
      </c>
      <c r="AK4" s="11"/>
      <c r="AL4" s="11"/>
      <c r="AM4" s="11"/>
      <c r="AN4" s="11"/>
      <c r="AO4" s="11"/>
      <c r="AP4" s="11"/>
      <c r="AQ4" s="11"/>
      <c r="AR4" s="11"/>
    </row>
    <row r="5" spans="1:216" x14ac:dyDescent="0.3">
      <c r="A5" s="10" t="s">
        <v>32</v>
      </c>
      <c r="B5" s="10" t="s">
        <v>34</v>
      </c>
      <c r="C5" s="10">
        <v>4</v>
      </c>
      <c r="D5" s="10">
        <v>4</v>
      </c>
      <c r="E5" s="10" t="s">
        <v>33</v>
      </c>
      <c r="F5" s="10" t="s">
        <v>24</v>
      </c>
      <c r="U5" s="11"/>
      <c r="V5" s="11"/>
      <c r="W5" s="11"/>
      <c r="X5" s="11"/>
    </row>
    <row r="6" spans="1:216" x14ac:dyDescent="0.3">
      <c r="A6" s="10" t="s">
        <v>25</v>
      </c>
      <c r="B6" s="10" t="s">
        <v>32</v>
      </c>
      <c r="C6" s="10">
        <v>18</v>
      </c>
      <c r="D6" s="10">
        <v>16</v>
      </c>
      <c r="E6" s="10" t="s">
        <v>31</v>
      </c>
      <c r="F6" s="10" t="s">
        <v>24</v>
      </c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216" x14ac:dyDescent="0.3">
      <c r="A7" s="10" t="s">
        <v>22</v>
      </c>
      <c r="B7" s="10" t="s">
        <v>28</v>
      </c>
      <c r="C7" s="10">
        <v>36</v>
      </c>
      <c r="D7" s="10">
        <v>16</v>
      </c>
      <c r="E7" s="10" t="s">
        <v>30</v>
      </c>
      <c r="F7" s="10" t="s">
        <v>2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</row>
    <row r="8" spans="1:216" x14ac:dyDescent="0.3">
      <c r="A8" s="10" t="s">
        <v>29</v>
      </c>
      <c r="B8" s="10" t="s">
        <v>28</v>
      </c>
      <c r="C8" s="10">
        <v>20</v>
      </c>
      <c r="D8" s="10">
        <v>16</v>
      </c>
      <c r="E8" s="10" t="s">
        <v>27</v>
      </c>
      <c r="F8" s="10" t="s">
        <v>21</v>
      </c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spans="1:216" x14ac:dyDescent="0.3">
      <c r="A9" s="10" t="s">
        <v>26</v>
      </c>
      <c r="B9" s="10" t="s">
        <v>25</v>
      </c>
      <c r="C9" s="10">
        <v>14</v>
      </c>
      <c r="D9" s="10">
        <v>8</v>
      </c>
      <c r="E9" s="10" t="s">
        <v>7</v>
      </c>
      <c r="F9" s="10" t="s">
        <v>24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216" x14ac:dyDescent="0.3">
      <c r="A10" s="10" t="s">
        <v>23</v>
      </c>
      <c r="B10" s="10" t="s">
        <v>22</v>
      </c>
      <c r="C10" s="10">
        <v>14</v>
      </c>
      <c r="D10" s="10">
        <v>6</v>
      </c>
      <c r="E10" s="10" t="s">
        <v>7</v>
      </c>
      <c r="F10" s="10" t="s">
        <v>21</v>
      </c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</row>
    <row r="11" spans="1:216" x14ac:dyDescent="0.3">
      <c r="A11" s="10" t="s">
        <v>20</v>
      </c>
      <c r="B11" s="10" t="s">
        <v>19</v>
      </c>
      <c r="C11" s="10">
        <v>20</v>
      </c>
      <c r="D11" s="10">
        <v>12</v>
      </c>
      <c r="E11" s="10" t="s">
        <v>14</v>
      </c>
      <c r="F11" s="10" t="s">
        <v>2</v>
      </c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</row>
    <row r="12" spans="1:216" x14ac:dyDescent="0.3">
      <c r="A12" s="10" t="s">
        <v>11</v>
      </c>
      <c r="B12" s="10" t="s">
        <v>18</v>
      </c>
      <c r="C12" s="10">
        <v>80</v>
      </c>
      <c r="D12" s="10">
        <v>70</v>
      </c>
      <c r="E12" s="10" t="s">
        <v>17</v>
      </c>
      <c r="F12" s="10" t="s">
        <v>2</v>
      </c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</row>
    <row r="13" spans="1:216" x14ac:dyDescent="0.3">
      <c r="A13" s="10" t="s">
        <v>15</v>
      </c>
      <c r="B13" s="10" t="s">
        <v>11</v>
      </c>
      <c r="C13" s="10">
        <v>20</v>
      </c>
      <c r="D13" s="10">
        <v>18</v>
      </c>
      <c r="E13" s="10" t="s">
        <v>14</v>
      </c>
      <c r="F13" s="10" t="s">
        <v>6</v>
      </c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</row>
    <row r="14" spans="1:216" x14ac:dyDescent="0.3">
      <c r="A14" s="10" t="s">
        <v>16</v>
      </c>
      <c r="B14" s="10" t="s">
        <v>15</v>
      </c>
      <c r="C14" s="10">
        <v>20</v>
      </c>
      <c r="D14" s="10">
        <v>16</v>
      </c>
      <c r="E14" s="10" t="s">
        <v>14</v>
      </c>
      <c r="F14" s="10" t="s">
        <v>6</v>
      </c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</row>
    <row r="15" spans="1:216" x14ac:dyDescent="0.3">
      <c r="A15" s="10" t="s">
        <v>13</v>
      </c>
      <c r="B15" s="10" t="s">
        <v>11</v>
      </c>
      <c r="C15" s="10">
        <v>5</v>
      </c>
      <c r="D15" s="10">
        <v>5</v>
      </c>
      <c r="E15" s="10" t="s">
        <v>6</v>
      </c>
      <c r="F15" s="10" t="s">
        <v>6</v>
      </c>
      <c r="FS15" s="11"/>
      <c r="FT15" s="11"/>
      <c r="FU15" s="11"/>
      <c r="FV15" s="11"/>
      <c r="FW15" s="11"/>
    </row>
    <row r="16" spans="1:216" x14ac:dyDescent="0.3">
      <c r="A16" s="10" t="s">
        <v>12</v>
      </c>
      <c r="B16" s="10" t="s">
        <v>11</v>
      </c>
      <c r="C16" s="10">
        <v>8</v>
      </c>
      <c r="D16" s="10">
        <v>3</v>
      </c>
      <c r="E16" s="10" t="s">
        <v>10</v>
      </c>
      <c r="F16" s="10" t="s">
        <v>6</v>
      </c>
      <c r="FS16" s="11"/>
      <c r="FT16" s="11"/>
      <c r="FU16" s="11"/>
      <c r="FV16" s="11"/>
      <c r="FW16" s="11"/>
      <c r="FX16" s="11"/>
      <c r="FY16" s="11"/>
      <c r="FZ16" s="11"/>
    </row>
    <row r="17" spans="1:216" x14ac:dyDescent="0.3">
      <c r="A17" s="10" t="s">
        <v>9</v>
      </c>
      <c r="B17" s="10" t="s">
        <v>8</v>
      </c>
      <c r="C17" s="10">
        <v>16</v>
      </c>
      <c r="D17" s="10">
        <v>10</v>
      </c>
      <c r="E17" s="10" t="s">
        <v>7</v>
      </c>
      <c r="F17" s="10" t="s">
        <v>6</v>
      </c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</row>
    <row r="18" spans="1:216" x14ac:dyDescent="0.3">
      <c r="A18" s="10" t="s">
        <v>5</v>
      </c>
      <c r="B18" s="10" t="s">
        <v>4</v>
      </c>
      <c r="C18" s="10">
        <v>2</v>
      </c>
      <c r="D18" s="10">
        <v>2</v>
      </c>
      <c r="E18" s="10" t="s">
        <v>3</v>
      </c>
      <c r="F18" s="10" t="s">
        <v>2</v>
      </c>
      <c r="HG18" s="11"/>
      <c r="HH18" s="11"/>
    </row>
    <row r="19" spans="1:216" x14ac:dyDescent="0.3">
      <c r="A19" s="10" t="s">
        <v>1</v>
      </c>
      <c r="C19" s="10">
        <v>315</v>
      </c>
      <c r="E19" s="10" t="s">
        <v>0</v>
      </c>
    </row>
    <row r="32" spans="1:216" s="13" customFormat="1" x14ac:dyDescent="0.3"/>
    <row r="33" s="13" customFormat="1" x14ac:dyDescent="0.3"/>
    <row r="39" s="13" customFormat="1" x14ac:dyDescent="0.3"/>
    <row r="57" spans="49:216" x14ac:dyDescent="0.3"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</row>
    <row r="58" spans="49:216" x14ac:dyDescent="0.3"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</row>
    <row r="59" spans="49:216" x14ac:dyDescent="0.3"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</row>
    <row r="60" spans="49:216" x14ac:dyDescent="0.3"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</row>
    <row r="61" spans="49:216" x14ac:dyDescent="0.3"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</row>
    <row r="62" spans="49:216" x14ac:dyDescent="0.3"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</row>
    <row r="63" spans="49:216" x14ac:dyDescent="0.3"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</row>
    <row r="64" spans="49:216" x14ac:dyDescent="0.3"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</row>
    <row r="65" spans="49:216" x14ac:dyDescent="0.3"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</row>
    <row r="66" spans="49:216" x14ac:dyDescent="0.3"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</row>
    <row r="67" spans="49:216" x14ac:dyDescent="0.3"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</row>
    <row r="68" spans="49:216" x14ac:dyDescent="0.3"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EA2C-D0E8-4EB6-AFBF-CCD0DD7ED3B3}">
  <dimension ref="A1:HD25"/>
  <sheetViews>
    <sheetView zoomScale="58" workbookViewId="0">
      <selection activeCell="AT37" sqref="AT37"/>
    </sheetView>
  </sheetViews>
  <sheetFormatPr defaultColWidth="3.77734375" defaultRowHeight="14.4" x14ac:dyDescent="0.3"/>
  <cols>
    <col min="2" max="2" width="6.109375" bestFit="1" customWidth="1"/>
    <col min="3" max="40" width="3.88671875" bestFit="1" customWidth="1"/>
  </cols>
  <sheetData>
    <row r="1" spans="1:212" x14ac:dyDescent="0.3">
      <c r="A1" s="10" t="s">
        <v>44</v>
      </c>
      <c r="B1" s="10" t="s">
        <v>43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10">
        <v>18</v>
      </c>
      <c r="U1" s="10">
        <v>19</v>
      </c>
      <c r="V1" s="10">
        <v>20</v>
      </c>
      <c r="W1" s="10">
        <v>21</v>
      </c>
      <c r="X1" s="10">
        <v>22</v>
      </c>
      <c r="Y1" s="10">
        <v>23</v>
      </c>
      <c r="Z1" s="10">
        <v>24</v>
      </c>
      <c r="AA1" s="10">
        <v>25</v>
      </c>
      <c r="AB1" s="10">
        <v>26</v>
      </c>
      <c r="AC1" s="10">
        <v>27</v>
      </c>
      <c r="AD1" s="10">
        <v>28</v>
      </c>
      <c r="AE1" s="10">
        <v>29</v>
      </c>
      <c r="AF1" s="10">
        <v>30</v>
      </c>
      <c r="AG1" s="10">
        <v>31</v>
      </c>
      <c r="AH1" s="10">
        <v>32</v>
      </c>
      <c r="AI1" s="10">
        <v>33</v>
      </c>
      <c r="AJ1" s="10">
        <v>34</v>
      </c>
      <c r="AK1" s="10">
        <v>35</v>
      </c>
      <c r="AL1" s="10">
        <v>36</v>
      </c>
      <c r="AM1" s="10">
        <v>37</v>
      </c>
      <c r="AN1" s="10">
        <v>38</v>
      </c>
      <c r="AO1" s="10">
        <v>39</v>
      </c>
      <c r="AP1" s="10">
        <v>40</v>
      </c>
      <c r="AQ1" s="10">
        <v>41</v>
      </c>
      <c r="AR1" s="10">
        <v>42</v>
      </c>
      <c r="AS1" s="10">
        <v>43</v>
      </c>
      <c r="AT1" s="10">
        <v>44</v>
      </c>
      <c r="AU1" s="10">
        <v>45</v>
      </c>
      <c r="AV1" s="10">
        <v>46</v>
      </c>
      <c r="AW1" s="10">
        <v>47</v>
      </c>
      <c r="AX1" s="10">
        <v>48</v>
      </c>
      <c r="AY1" s="10">
        <v>49</v>
      </c>
      <c r="AZ1" s="10">
        <v>50</v>
      </c>
      <c r="BA1" s="10">
        <v>51</v>
      </c>
      <c r="BB1" s="10">
        <v>52</v>
      </c>
      <c r="BC1" s="10">
        <v>53</v>
      </c>
      <c r="BD1" s="10">
        <v>54</v>
      </c>
      <c r="BE1" s="10">
        <v>55</v>
      </c>
      <c r="BF1" s="10">
        <v>56</v>
      </c>
      <c r="BG1" s="10">
        <v>57</v>
      </c>
      <c r="BH1" s="10">
        <v>58</v>
      </c>
      <c r="BI1" s="10">
        <v>59</v>
      </c>
      <c r="BJ1" s="10">
        <v>60</v>
      </c>
      <c r="BK1" s="10">
        <v>61</v>
      </c>
      <c r="BL1" s="10">
        <v>62</v>
      </c>
      <c r="BM1" s="10">
        <v>63</v>
      </c>
      <c r="BN1" s="10">
        <v>64</v>
      </c>
      <c r="BO1" s="10">
        <v>65</v>
      </c>
      <c r="BP1" s="10">
        <v>66</v>
      </c>
      <c r="BQ1" s="10">
        <v>67</v>
      </c>
      <c r="BR1" s="10">
        <v>68</v>
      </c>
      <c r="BS1" s="10">
        <v>69</v>
      </c>
      <c r="BT1" s="10">
        <v>70</v>
      </c>
      <c r="BU1" s="10">
        <v>71</v>
      </c>
      <c r="BV1" s="10">
        <v>72</v>
      </c>
      <c r="BW1" s="10">
        <v>73</v>
      </c>
      <c r="BX1" s="10">
        <v>74</v>
      </c>
      <c r="BY1" s="10">
        <v>75</v>
      </c>
      <c r="BZ1" s="10">
        <v>76</v>
      </c>
      <c r="CA1" s="10">
        <v>77</v>
      </c>
      <c r="CB1" s="10">
        <v>78</v>
      </c>
      <c r="CC1" s="10">
        <v>79</v>
      </c>
      <c r="CD1" s="10">
        <v>80</v>
      </c>
      <c r="CE1" s="10">
        <v>81</v>
      </c>
      <c r="CF1" s="10">
        <v>82</v>
      </c>
      <c r="CG1" s="10">
        <v>83</v>
      </c>
      <c r="CH1" s="10">
        <v>84</v>
      </c>
      <c r="CI1" s="10">
        <v>85</v>
      </c>
      <c r="CJ1" s="10">
        <v>86</v>
      </c>
      <c r="CK1" s="10">
        <v>87</v>
      </c>
      <c r="CL1" s="10">
        <v>88</v>
      </c>
      <c r="CM1" s="10">
        <v>89</v>
      </c>
      <c r="CN1" s="10">
        <v>90</v>
      </c>
      <c r="CO1" s="10">
        <v>91</v>
      </c>
      <c r="CP1" s="10">
        <v>92</v>
      </c>
      <c r="CQ1" s="10">
        <v>93</v>
      </c>
      <c r="CR1" s="10">
        <v>94</v>
      </c>
      <c r="CS1" s="10">
        <v>95</v>
      </c>
      <c r="CT1" s="10">
        <v>96</v>
      </c>
      <c r="CU1" s="10">
        <v>97</v>
      </c>
      <c r="CV1" s="10">
        <v>98</v>
      </c>
      <c r="CW1" s="10">
        <v>99</v>
      </c>
      <c r="CX1" s="10">
        <v>100</v>
      </c>
      <c r="CY1" s="10">
        <v>101</v>
      </c>
      <c r="CZ1" s="10">
        <v>102</v>
      </c>
      <c r="DA1" s="10">
        <v>103</v>
      </c>
      <c r="DB1" s="10">
        <v>104</v>
      </c>
      <c r="DC1" s="10">
        <v>105</v>
      </c>
      <c r="DD1" s="10">
        <v>106</v>
      </c>
      <c r="DE1" s="10">
        <v>107</v>
      </c>
      <c r="DF1" s="10">
        <v>108</v>
      </c>
      <c r="DG1" s="10">
        <v>109</v>
      </c>
      <c r="DH1" s="10">
        <v>110</v>
      </c>
      <c r="DI1" s="10">
        <v>111</v>
      </c>
      <c r="DJ1" s="10">
        <v>112</v>
      </c>
      <c r="DK1" s="10">
        <v>113</v>
      </c>
      <c r="DL1" s="10">
        <v>114</v>
      </c>
      <c r="DM1" s="10">
        <v>115</v>
      </c>
      <c r="DN1" s="10">
        <v>116</v>
      </c>
      <c r="DO1" s="10">
        <v>117</v>
      </c>
      <c r="DP1" s="10">
        <v>118</v>
      </c>
      <c r="DQ1" s="10">
        <v>119</v>
      </c>
      <c r="DR1" s="10">
        <v>120</v>
      </c>
      <c r="DS1" s="10">
        <v>121</v>
      </c>
      <c r="DT1" s="10">
        <v>122</v>
      </c>
      <c r="DU1" s="10">
        <v>123</v>
      </c>
      <c r="DV1" s="10">
        <v>124</v>
      </c>
      <c r="DW1" s="10">
        <v>125</v>
      </c>
      <c r="DX1" s="10">
        <v>126</v>
      </c>
      <c r="DY1" s="10">
        <v>127</v>
      </c>
      <c r="DZ1" s="10">
        <v>128</v>
      </c>
      <c r="EA1" s="10">
        <v>129</v>
      </c>
      <c r="EB1" s="10">
        <v>130</v>
      </c>
      <c r="EC1" s="10">
        <v>131</v>
      </c>
      <c r="ED1" s="10">
        <v>132</v>
      </c>
      <c r="EE1" s="10">
        <v>133</v>
      </c>
      <c r="EF1" s="10">
        <v>134</v>
      </c>
      <c r="EG1" s="10">
        <v>135</v>
      </c>
      <c r="EH1" s="10">
        <v>136</v>
      </c>
      <c r="EI1" s="10">
        <v>137</v>
      </c>
      <c r="EJ1" s="10">
        <v>138</v>
      </c>
      <c r="EK1" s="10">
        <v>139</v>
      </c>
      <c r="EL1" s="10">
        <v>140</v>
      </c>
      <c r="EM1" s="10">
        <v>141</v>
      </c>
      <c r="EN1" s="10">
        <v>142</v>
      </c>
      <c r="EO1" s="10">
        <v>143</v>
      </c>
      <c r="EP1" s="10">
        <v>144</v>
      </c>
      <c r="EQ1" s="10">
        <v>145</v>
      </c>
      <c r="ER1" s="10">
        <v>146</v>
      </c>
      <c r="ES1" s="10">
        <v>147</v>
      </c>
      <c r="ET1" s="10">
        <v>148</v>
      </c>
      <c r="EU1" s="10">
        <v>149</v>
      </c>
      <c r="EV1" s="10">
        <v>150</v>
      </c>
      <c r="EW1" s="10">
        <v>151</v>
      </c>
      <c r="EX1" s="10">
        <v>152</v>
      </c>
      <c r="EY1" s="10">
        <v>153</v>
      </c>
      <c r="EZ1" s="10">
        <v>154</v>
      </c>
      <c r="FA1" s="10">
        <v>155</v>
      </c>
      <c r="FB1" s="10">
        <v>156</v>
      </c>
      <c r="FC1" s="10">
        <v>157</v>
      </c>
      <c r="FD1" s="10">
        <v>158</v>
      </c>
      <c r="FE1" s="10">
        <v>159</v>
      </c>
      <c r="FF1" s="10">
        <v>160</v>
      </c>
      <c r="FG1" s="10">
        <v>161</v>
      </c>
      <c r="FH1" s="10">
        <v>162</v>
      </c>
      <c r="FI1" s="10">
        <v>163</v>
      </c>
      <c r="FJ1" s="10">
        <v>164</v>
      </c>
      <c r="FK1" s="10">
        <v>165</v>
      </c>
      <c r="FL1" s="10">
        <v>166</v>
      </c>
      <c r="FM1" s="10">
        <v>167</v>
      </c>
      <c r="FN1" s="10">
        <v>168</v>
      </c>
      <c r="FO1" s="10">
        <v>169</v>
      </c>
      <c r="FP1" s="10">
        <v>170</v>
      </c>
      <c r="FQ1" s="10">
        <v>171</v>
      </c>
      <c r="FR1" s="10">
        <v>172</v>
      </c>
      <c r="FS1" s="10">
        <v>173</v>
      </c>
      <c r="FT1" s="10">
        <v>174</v>
      </c>
      <c r="FU1" s="10">
        <v>175</v>
      </c>
      <c r="FV1" s="10">
        <v>176</v>
      </c>
      <c r="FW1" s="10">
        <v>177</v>
      </c>
      <c r="FX1" s="10">
        <v>178</v>
      </c>
      <c r="FY1" s="10">
        <v>179</v>
      </c>
      <c r="FZ1" s="10">
        <v>180</v>
      </c>
      <c r="GA1" s="10">
        <v>181</v>
      </c>
      <c r="GB1" s="10">
        <v>182</v>
      </c>
      <c r="GC1" s="10">
        <v>183</v>
      </c>
      <c r="GD1" s="10">
        <v>184</v>
      </c>
      <c r="GE1" s="10">
        <v>185</v>
      </c>
      <c r="GF1" s="10">
        <v>186</v>
      </c>
      <c r="GG1" s="10">
        <v>187</v>
      </c>
      <c r="GH1" s="10">
        <v>188</v>
      </c>
      <c r="GI1" s="10">
        <v>189</v>
      </c>
      <c r="GJ1" s="10">
        <v>190</v>
      </c>
      <c r="GK1" s="10">
        <v>191</v>
      </c>
      <c r="GL1" s="10">
        <v>192</v>
      </c>
      <c r="GM1" s="10">
        <v>193</v>
      </c>
      <c r="GN1" s="10">
        <v>194</v>
      </c>
      <c r="GO1" s="10">
        <v>195</v>
      </c>
      <c r="GP1" s="10">
        <v>196</v>
      </c>
      <c r="GQ1" s="10">
        <v>197</v>
      </c>
      <c r="GR1" s="10">
        <v>198</v>
      </c>
      <c r="GS1" s="10">
        <v>199</v>
      </c>
      <c r="GT1" s="10">
        <v>200</v>
      </c>
      <c r="GU1" s="10">
        <v>201</v>
      </c>
      <c r="GV1" s="10">
        <v>202</v>
      </c>
      <c r="GW1" s="10">
        <v>203</v>
      </c>
      <c r="GX1" s="10">
        <v>204</v>
      </c>
      <c r="GY1" s="10">
        <v>205</v>
      </c>
      <c r="GZ1" s="10">
        <v>206</v>
      </c>
      <c r="HA1" s="10">
        <v>207</v>
      </c>
      <c r="HB1" s="10">
        <v>208</v>
      </c>
      <c r="HC1" s="10">
        <v>209</v>
      </c>
      <c r="HD1" s="10">
        <v>210</v>
      </c>
    </row>
    <row r="2" spans="1:212" x14ac:dyDescent="0.3">
      <c r="A2" s="10" t="s">
        <v>34</v>
      </c>
      <c r="B2" s="10" t="s">
        <v>38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</row>
    <row r="3" spans="1:212" x14ac:dyDescent="0.3">
      <c r="A3" s="10" t="s">
        <v>35</v>
      </c>
      <c r="B3" s="10" t="s">
        <v>34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</row>
    <row r="4" spans="1:212" x14ac:dyDescent="0.3">
      <c r="A4" s="10" t="s">
        <v>28</v>
      </c>
      <c r="B4" s="10" t="s">
        <v>35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2"/>
      <c r="AH4" s="12"/>
      <c r="AI4" s="12"/>
      <c r="AJ4" s="12"/>
      <c r="AK4" s="12"/>
      <c r="AL4" s="12"/>
      <c r="AM4" s="12"/>
      <c r="AN4" s="11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</row>
    <row r="5" spans="1:212" x14ac:dyDescent="0.3">
      <c r="A5" s="10" t="s">
        <v>32</v>
      </c>
      <c r="B5" s="10" t="s">
        <v>34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/>
      <c r="R5" s="12"/>
      <c r="S5" s="12"/>
      <c r="T5" s="12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</row>
    <row r="6" spans="1:212" x14ac:dyDescent="0.3">
      <c r="A6" s="10" t="s">
        <v>25</v>
      </c>
      <c r="B6" s="10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</row>
    <row r="7" spans="1:212" x14ac:dyDescent="0.3">
      <c r="A7" s="10" t="s">
        <v>22</v>
      </c>
      <c r="B7" s="10" t="s">
        <v>28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</row>
    <row r="8" spans="1:212" x14ac:dyDescent="0.3">
      <c r="A8" s="10" t="s">
        <v>29</v>
      </c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</row>
    <row r="9" spans="1:212" x14ac:dyDescent="0.3">
      <c r="A9" s="10" t="s">
        <v>26</v>
      </c>
      <c r="B9" s="10" t="s">
        <v>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2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</row>
    <row r="10" spans="1:212" x14ac:dyDescent="0.3">
      <c r="A10" s="10" t="s">
        <v>23</v>
      </c>
      <c r="B10" s="10" t="s">
        <v>22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</row>
    <row r="11" spans="1:212" x14ac:dyDescent="0.3">
      <c r="A11" s="13" t="s">
        <v>20</v>
      </c>
      <c r="B11" s="13" t="s">
        <v>19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5"/>
      <c r="BV11" s="15"/>
      <c r="BW11" s="15"/>
      <c r="BX11" s="15"/>
      <c r="BY11" s="15"/>
      <c r="BZ11" s="15"/>
      <c r="CA11" s="15"/>
      <c r="CB11" s="15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</row>
    <row r="12" spans="1:212" x14ac:dyDescent="0.3">
      <c r="A12" s="13" t="s">
        <v>11</v>
      </c>
      <c r="B12" s="13" t="s">
        <v>18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</row>
    <row r="13" spans="1:212" x14ac:dyDescent="0.3">
      <c r="A13" s="10" t="s">
        <v>15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</row>
    <row r="14" spans="1:212" x14ac:dyDescent="0.3">
      <c r="A14" s="10" t="s">
        <v>16</v>
      </c>
      <c r="B14" s="10" t="s">
        <v>15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0"/>
      <c r="HD14" s="10"/>
    </row>
    <row r="15" spans="1:212" x14ac:dyDescent="0.3">
      <c r="A15" s="10" t="s">
        <v>13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1"/>
      <c r="FP15" s="11"/>
      <c r="FQ15" s="11"/>
      <c r="FR15" s="11"/>
      <c r="FS15" s="11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</row>
    <row r="16" spans="1:212" x14ac:dyDescent="0.3">
      <c r="A16" s="10" t="s">
        <v>12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1"/>
      <c r="FP16" s="11"/>
      <c r="FQ16" s="11"/>
      <c r="FR16" s="11"/>
      <c r="FS16" s="11"/>
      <c r="FT16" s="11"/>
      <c r="FU16" s="11"/>
      <c r="FV16" s="11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</row>
    <row r="17" spans="1:212" x14ac:dyDescent="0.3">
      <c r="A17" s="10" t="s">
        <v>9</v>
      </c>
      <c r="B17" s="10" t="s">
        <v>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</row>
    <row r="18" spans="1:212" x14ac:dyDescent="0.3">
      <c r="A18" s="13" t="s">
        <v>5</v>
      </c>
      <c r="B18" s="13" t="s">
        <v>4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4"/>
      <c r="HD18" s="14"/>
    </row>
    <row r="19" spans="1:212" x14ac:dyDescent="0.3">
      <c r="A19" s="10" t="s">
        <v>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</row>
    <row r="20" spans="1:212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</row>
    <row r="21" spans="1:212" x14ac:dyDescent="0.3">
      <c r="A21" s="1" t="s">
        <v>29</v>
      </c>
      <c r="B21" s="1">
        <f>1400 * 2</f>
        <v>2800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</row>
    <row r="22" spans="1:212" x14ac:dyDescent="0.3">
      <c r="A22" s="1" t="s">
        <v>22</v>
      </c>
      <c r="B22" s="1">
        <f>1200 * 20</f>
        <v>24000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</row>
    <row r="23" spans="1:212" x14ac:dyDescent="0.3">
      <c r="A23" s="1" t="s">
        <v>20</v>
      </c>
      <c r="B23" s="1">
        <f>1200 * 8</f>
        <v>9600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</row>
    <row r="24" spans="1:212" x14ac:dyDescent="0.3">
      <c r="A24" s="1" t="s">
        <v>11</v>
      </c>
      <c r="B24" s="1">
        <f>1200 * 10</f>
        <v>12000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</row>
    <row r="25" spans="1:212" x14ac:dyDescent="0.3">
      <c r="A25" s="1"/>
      <c r="B25" s="1">
        <f>SUM(B21:B24)</f>
        <v>48400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69A9-924C-4917-93F5-FDC40501D4F1}">
  <dimension ref="A1:AV20"/>
  <sheetViews>
    <sheetView zoomScale="77" zoomScaleNormal="77" workbookViewId="0">
      <selection activeCell="AC7" sqref="AC7"/>
    </sheetView>
  </sheetViews>
  <sheetFormatPr defaultColWidth="9.5546875" defaultRowHeight="14.4" x14ac:dyDescent="0.3"/>
  <cols>
    <col min="1" max="6" width="10.77734375" customWidth="1"/>
    <col min="7" max="48" width="4.77734375" customWidth="1"/>
  </cols>
  <sheetData>
    <row r="1" spans="1:48" ht="43.2" customHeight="1" x14ac:dyDescent="0.3">
      <c r="A1" s="10" t="s">
        <v>44</v>
      </c>
      <c r="B1" s="10" t="s">
        <v>43</v>
      </c>
      <c r="C1" s="17" t="s">
        <v>49</v>
      </c>
      <c r="D1" s="17" t="s">
        <v>51</v>
      </c>
      <c r="E1" s="17" t="s">
        <v>50</v>
      </c>
      <c r="F1" s="17" t="s">
        <v>52</v>
      </c>
      <c r="G1" s="18">
        <v>5</v>
      </c>
      <c r="H1" s="18">
        <v>10</v>
      </c>
      <c r="I1" s="18">
        <v>15</v>
      </c>
      <c r="J1" s="18">
        <v>20</v>
      </c>
      <c r="K1" s="18">
        <v>25</v>
      </c>
      <c r="L1" s="10">
        <v>30</v>
      </c>
      <c r="M1" s="10">
        <v>35</v>
      </c>
      <c r="N1" s="10">
        <v>40</v>
      </c>
      <c r="O1" s="10">
        <v>45</v>
      </c>
      <c r="P1" s="10">
        <v>50</v>
      </c>
      <c r="Q1" s="10">
        <v>55</v>
      </c>
      <c r="R1" s="10">
        <v>60</v>
      </c>
      <c r="S1" s="10">
        <v>65</v>
      </c>
      <c r="T1" s="10">
        <v>70</v>
      </c>
      <c r="U1" s="10">
        <v>75</v>
      </c>
      <c r="V1" s="10">
        <v>80</v>
      </c>
      <c r="W1" s="10">
        <v>85</v>
      </c>
      <c r="X1" s="10">
        <v>90</v>
      </c>
      <c r="Y1" s="10">
        <v>95</v>
      </c>
      <c r="Z1" s="10">
        <v>100</v>
      </c>
      <c r="AA1" s="10">
        <v>105</v>
      </c>
      <c r="AB1" s="10">
        <v>110</v>
      </c>
      <c r="AC1" s="10">
        <v>115</v>
      </c>
      <c r="AD1" s="10">
        <v>120</v>
      </c>
      <c r="AE1" s="10">
        <v>125</v>
      </c>
      <c r="AF1" s="10">
        <v>130</v>
      </c>
      <c r="AG1" s="10">
        <v>135</v>
      </c>
      <c r="AH1" s="10">
        <v>140</v>
      </c>
      <c r="AI1" s="10">
        <v>145</v>
      </c>
      <c r="AJ1" s="10">
        <v>150</v>
      </c>
      <c r="AK1" s="10">
        <v>155</v>
      </c>
      <c r="AL1" s="10">
        <v>160</v>
      </c>
      <c r="AM1" s="10">
        <v>165</v>
      </c>
      <c r="AN1" s="10">
        <v>170</v>
      </c>
      <c r="AO1" s="10">
        <v>175</v>
      </c>
      <c r="AP1" s="10">
        <v>180</v>
      </c>
      <c r="AQ1" s="10">
        <v>185</v>
      </c>
      <c r="AR1" s="10">
        <v>190</v>
      </c>
      <c r="AS1" s="10">
        <v>195</v>
      </c>
      <c r="AT1" s="10">
        <v>200</v>
      </c>
      <c r="AU1" s="10">
        <v>205</v>
      </c>
      <c r="AV1" s="10">
        <v>210</v>
      </c>
    </row>
    <row r="2" spans="1:48" x14ac:dyDescent="0.3">
      <c r="A2" s="10" t="s">
        <v>34</v>
      </c>
      <c r="B2" s="10" t="s">
        <v>38</v>
      </c>
      <c r="C2" s="10">
        <v>14</v>
      </c>
      <c r="D2" s="10">
        <v>14</v>
      </c>
      <c r="E2" s="10" t="s">
        <v>37</v>
      </c>
      <c r="F2" s="10" t="s">
        <v>24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</row>
    <row r="3" spans="1:48" x14ac:dyDescent="0.3">
      <c r="A3" s="10" t="s">
        <v>35</v>
      </c>
      <c r="B3" s="10" t="s">
        <v>34</v>
      </c>
      <c r="C3" s="10">
        <v>16</v>
      </c>
      <c r="D3" s="10">
        <v>14</v>
      </c>
      <c r="E3" s="10" t="s">
        <v>36</v>
      </c>
      <c r="F3" s="10" t="s">
        <v>24</v>
      </c>
      <c r="G3" s="10"/>
      <c r="H3" s="10"/>
      <c r="I3" s="1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 spans="1:48" x14ac:dyDescent="0.3">
      <c r="A4" s="10" t="s">
        <v>28</v>
      </c>
      <c r="B4" s="10" t="s">
        <v>35</v>
      </c>
      <c r="C4" s="10">
        <v>8</v>
      </c>
      <c r="D4" s="10">
        <v>8</v>
      </c>
      <c r="E4" s="10" t="s">
        <v>10</v>
      </c>
      <c r="F4" s="10" t="s">
        <v>24</v>
      </c>
      <c r="G4" s="10"/>
      <c r="H4" s="10"/>
      <c r="I4" s="10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x14ac:dyDescent="0.3">
      <c r="A5" s="10" t="s">
        <v>32</v>
      </c>
      <c r="B5" s="10" t="s">
        <v>34</v>
      </c>
      <c r="C5" s="10">
        <v>4</v>
      </c>
      <c r="D5" s="10">
        <v>4</v>
      </c>
      <c r="E5" s="10" t="s">
        <v>33</v>
      </c>
      <c r="F5" s="10" t="s">
        <v>24</v>
      </c>
      <c r="G5" s="10"/>
      <c r="H5" s="10"/>
      <c r="I5" s="10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x14ac:dyDescent="0.3">
      <c r="A6" s="10" t="s">
        <v>25</v>
      </c>
      <c r="B6" s="10" t="s">
        <v>32</v>
      </c>
      <c r="C6" s="10">
        <v>18</v>
      </c>
      <c r="D6" s="10">
        <v>16</v>
      </c>
      <c r="E6" s="10" t="s">
        <v>31</v>
      </c>
      <c r="F6" s="10" t="s">
        <v>24</v>
      </c>
      <c r="G6" s="10"/>
      <c r="H6" s="10"/>
      <c r="I6" s="10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x14ac:dyDescent="0.3">
      <c r="A7" s="10" t="s">
        <v>22</v>
      </c>
      <c r="B7" s="10" t="s">
        <v>28</v>
      </c>
      <c r="C7" s="10">
        <v>36</v>
      </c>
      <c r="D7" s="10">
        <v>16</v>
      </c>
      <c r="E7" s="10" t="s">
        <v>30</v>
      </c>
      <c r="F7" s="10" t="s">
        <v>2</v>
      </c>
      <c r="G7" s="10"/>
      <c r="H7" s="10"/>
      <c r="I7" s="10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x14ac:dyDescent="0.3">
      <c r="A8" s="10" t="s">
        <v>29</v>
      </c>
      <c r="B8" s="10" t="s">
        <v>28</v>
      </c>
      <c r="C8" s="10">
        <v>20</v>
      </c>
      <c r="D8" s="10">
        <v>16</v>
      </c>
      <c r="E8" s="10" t="s">
        <v>27</v>
      </c>
      <c r="F8" s="10" t="s">
        <v>21</v>
      </c>
      <c r="G8" s="10"/>
      <c r="H8" s="10"/>
      <c r="I8" s="1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 x14ac:dyDescent="0.3">
      <c r="A9" s="10" t="s">
        <v>26</v>
      </c>
      <c r="B9" s="10" t="s">
        <v>25</v>
      </c>
      <c r="C9" s="10">
        <v>14</v>
      </c>
      <c r="D9" s="10">
        <v>8</v>
      </c>
      <c r="E9" s="10" t="s">
        <v>7</v>
      </c>
      <c r="F9" s="10" t="s">
        <v>24</v>
      </c>
      <c r="G9" s="10"/>
      <c r="H9" s="10"/>
      <c r="I9" s="10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x14ac:dyDescent="0.3">
      <c r="A10" s="10" t="s">
        <v>23</v>
      </c>
      <c r="B10" s="10" t="s">
        <v>22</v>
      </c>
      <c r="C10" s="10">
        <v>14</v>
      </c>
      <c r="D10" s="10">
        <v>6</v>
      </c>
      <c r="E10" s="10" t="s">
        <v>7</v>
      </c>
      <c r="F10" s="10" t="s">
        <v>21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x14ac:dyDescent="0.3">
      <c r="A11" s="10" t="s">
        <v>20</v>
      </c>
      <c r="B11" s="10" t="s">
        <v>19</v>
      </c>
      <c r="C11" s="10">
        <v>20</v>
      </c>
      <c r="D11" s="10">
        <v>12</v>
      </c>
      <c r="E11" s="10" t="s">
        <v>14</v>
      </c>
      <c r="F11" s="10" t="s">
        <v>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x14ac:dyDescent="0.3">
      <c r="A12" s="10" t="s">
        <v>11</v>
      </c>
      <c r="B12" s="10" t="s">
        <v>18</v>
      </c>
      <c r="C12" s="10">
        <v>80</v>
      </c>
      <c r="D12" s="10">
        <v>70</v>
      </c>
      <c r="E12" s="10" t="s">
        <v>17</v>
      </c>
      <c r="F12" s="10" t="s">
        <v>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x14ac:dyDescent="0.3">
      <c r="A13" s="10" t="s">
        <v>15</v>
      </c>
      <c r="B13" s="10" t="s">
        <v>11</v>
      </c>
      <c r="C13" s="10">
        <v>20</v>
      </c>
      <c r="D13" s="10">
        <v>18</v>
      </c>
      <c r="E13" s="10" t="s">
        <v>14</v>
      </c>
      <c r="F13" s="10" t="s">
        <v>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x14ac:dyDescent="0.3">
      <c r="A14" s="10" t="s">
        <v>16</v>
      </c>
      <c r="B14" s="10" t="s">
        <v>15</v>
      </c>
      <c r="C14" s="10">
        <v>20</v>
      </c>
      <c r="D14" s="10">
        <v>16</v>
      </c>
      <c r="E14" s="10" t="s">
        <v>14</v>
      </c>
      <c r="F14" s="10" t="s">
        <v>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x14ac:dyDescent="0.3">
      <c r="A15" s="10" t="s">
        <v>13</v>
      </c>
      <c r="B15" s="10" t="s">
        <v>11</v>
      </c>
      <c r="C15" s="10">
        <v>5</v>
      </c>
      <c r="D15" s="10">
        <v>5</v>
      </c>
      <c r="E15" s="10" t="s">
        <v>6</v>
      </c>
      <c r="F15" s="10" t="s">
        <v>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x14ac:dyDescent="0.3">
      <c r="A16" s="10" t="s">
        <v>12</v>
      </c>
      <c r="B16" s="10" t="s">
        <v>11</v>
      </c>
      <c r="C16" s="10">
        <v>8</v>
      </c>
      <c r="D16" s="10">
        <v>3</v>
      </c>
      <c r="E16" s="10" t="s">
        <v>10</v>
      </c>
      <c r="F16" s="10" t="s">
        <v>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x14ac:dyDescent="0.3">
      <c r="A17" s="10" t="s">
        <v>9</v>
      </c>
      <c r="B17" s="10" t="s">
        <v>8</v>
      </c>
      <c r="C17" s="10">
        <v>16</v>
      </c>
      <c r="D17" s="10">
        <v>10</v>
      </c>
      <c r="E17" s="10" t="s">
        <v>7</v>
      </c>
      <c r="F17" s="10" t="s"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x14ac:dyDescent="0.3">
      <c r="A18" s="10" t="s">
        <v>5</v>
      </c>
      <c r="B18" s="10" t="s">
        <v>4</v>
      </c>
      <c r="C18" s="10">
        <v>2</v>
      </c>
      <c r="D18" s="10">
        <v>2</v>
      </c>
      <c r="E18" s="10" t="s">
        <v>3</v>
      </c>
      <c r="F18" s="10" t="s">
        <v>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x14ac:dyDescent="0.3">
      <c r="A19" s="10" t="s">
        <v>1</v>
      </c>
      <c r="B19" s="10"/>
      <c r="C19" s="10">
        <v>315</v>
      </c>
      <c r="D19" s="10"/>
      <c r="E19" s="10" t="s">
        <v>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72DB-0AAC-4D62-80F1-E80B5EA5D7EA}">
  <dimension ref="A1:AM150"/>
  <sheetViews>
    <sheetView tabSelected="1" topLeftCell="A91" zoomScale="77" zoomScaleNormal="85" workbookViewId="0">
      <selection activeCell="A151" sqref="A151"/>
    </sheetView>
  </sheetViews>
  <sheetFormatPr defaultColWidth="3.77734375" defaultRowHeight="14.4" x14ac:dyDescent="0.3"/>
  <cols>
    <col min="1" max="1" width="6.109375" style="1" bestFit="1" customWidth="1"/>
    <col min="2" max="2" width="4" style="1" bestFit="1" customWidth="1"/>
    <col min="3" max="3" width="3.77734375" style="1"/>
    <col min="4" max="4" width="4" style="1" bestFit="1" customWidth="1"/>
    <col min="5" max="5" width="3.77734375" style="1"/>
    <col min="6" max="6" width="4" style="1" bestFit="1" customWidth="1"/>
    <col min="7" max="7" width="3.77734375" style="1"/>
    <col min="8" max="8" width="4" style="1" bestFit="1" customWidth="1"/>
    <col min="9" max="9" width="3.77734375" style="1"/>
    <col min="10" max="10" width="4" style="1" bestFit="1" customWidth="1"/>
    <col min="11" max="11" width="3.77734375" style="1"/>
    <col min="12" max="12" width="4" style="1" bestFit="1" customWidth="1"/>
    <col min="13" max="13" width="3.77734375" style="1"/>
    <col min="14" max="14" width="4" style="1" bestFit="1" customWidth="1"/>
    <col min="15" max="15" width="3.77734375" style="1"/>
    <col min="16" max="16" width="4" style="1" bestFit="1" customWidth="1"/>
    <col min="17" max="17" width="3.77734375" style="1"/>
    <col min="18" max="18" width="4" style="1" bestFit="1" customWidth="1"/>
    <col min="19" max="19" width="3.77734375" style="1"/>
    <col min="20" max="20" width="4" style="1" bestFit="1" customWidth="1"/>
    <col min="21" max="21" width="3.77734375" style="1"/>
    <col min="22" max="22" width="4" style="1" bestFit="1" customWidth="1"/>
    <col min="23" max="23" width="3.77734375" style="1"/>
    <col min="24" max="24" width="4.33203125" style="1" bestFit="1" customWidth="1"/>
    <col min="25" max="25" width="3.77734375" style="1"/>
    <col min="26" max="26" width="4.33203125" style="1" bestFit="1" customWidth="1"/>
    <col min="27" max="27" width="3.77734375" style="1"/>
    <col min="28" max="28" width="4.33203125" style="1" bestFit="1" customWidth="1"/>
    <col min="29" max="29" width="3.77734375" style="1"/>
    <col min="30" max="30" width="4" style="1" bestFit="1" customWidth="1"/>
    <col min="31" max="31" width="3.77734375" style="1"/>
    <col min="32" max="32" width="4" style="1" bestFit="1" customWidth="1"/>
    <col min="33" max="33" width="3.77734375" style="1"/>
    <col min="34" max="34" width="4" style="1" bestFit="1" customWidth="1"/>
    <col min="35" max="35" width="3.77734375" style="1"/>
    <col min="36" max="36" width="4" style="1" bestFit="1" customWidth="1"/>
    <col min="37" max="38" width="3.77734375" style="1"/>
    <col min="39" max="39" width="14.88671875" style="1" customWidth="1"/>
    <col min="40" max="16384" width="3.77734375" style="1"/>
  </cols>
  <sheetData>
    <row r="1" spans="2:36" ht="15" thickBot="1" x14ac:dyDescent="0.35"/>
    <row r="2" spans="2:36" ht="15" thickBot="1" x14ac:dyDescent="0.35">
      <c r="N2" s="2">
        <f>38+1</f>
        <v>39</v>
      </c>
      <c r="O2" s="3"/>
      <c r="P2" s="4">
        <f>38+36</f>
        <v>74</v>
      </c>
      <c r="R2" s="2">
        <f>74+1</f>
        <v>75</v>
      </c>
      <c r="S2" s="3"/>
      <c r="T2" s="4">
        <f>74+14</f>
        <v>88</v>
      </c>
    </row>
    <row r="3" spans="2:36" x14ac:dyDescent="0.3">
      <c r="N3" s="5"/>
      <c r="O3" s="1" t="s">
        <v>22</v>
      </c>
      <c r="P3" s="6"/>
      <c r="R3" s="5"/>
      <c r="S3" s="1" t="s">
        <v>23</v>
      </c>
      <c r="T3" s="6"/>
      <c r="Z3" s="2">
        <f>168+1</f>
        <v>169</v>
      </c>
      <c r="AA3" s="3"/>
      <c r="AB3" s="4">
        <f>168+20</f>
        <v>188</v>
      </c>
      <c r="AD3" s="2">
        <f>188+1</f>
        <v>189</v>
      </c>
      <c r="AE3" s="3"/>
      <c r="AF3" s="4">
        <f>188+20</f>
        <v>208</v>
      </c>
    </row>
    <row r="4" spans="2:36" ht="15" thickBot="1" x14ac:dyDescent="0.35">
      <c r="N4" s="7">
        <f>36+1</f>
        <v>37</v>
      </c>
      <c r="O4" s="8"/>
      <c r="P4" s="9">
        <f>36+16</f>
        <v>52</v>
      </c>
      <c r="R4" s="7">
        <f>52+1</f>
        <v>53</v>
      </c>
      <c r="S4" s="8"/>
      <c r="T4" s="9">
        <f>52+6</f>
        <v>58</v>
      </c>
      <c r="Z4" s="5"/>
      <c r="AA4" s="1" t="s">
        <v>15</v>
      </c>
      <c r="AB4" s="6"/>
      <c r="AD4" s="5"/>
      <c r="AE4" s="1" t="s">
        <v>16</v>
      </c>
      <c r="AF4" s="6"/>
    </row>
    <row r="5" spans="2:36" ht="15" thickBot="1" x14ac:dyDescent="0.35">
      <c r="Z5" s="7">
        <f>134+1</f>
        <v>135</v>
      </c>
      <c r="AA5" s="8"/>
      <c r="AB5" s="9">
        <f>134+18</f>
        <v>152</v>
      </c>
      <c r="AD5" s="7">
        <f>152+1</f>
        <v>153</v>
      </c>
      <c r="AE5" s="8"/>
      <c r="AF5" s="9">
        <f>152+16</f>
        <v>168</v>
      </c>
    </row>
    <row r="6" spans="2:36" ht="15" thickBot="1" x14ac:dyDescent="0.35">
      <c r="F6" s="2">
        <f>14+1</f>
        <v>15</v>
      </c>
      <c r="G6" s="3"/>
      <c r="H6" s="4">
        <f>14+16</f>
        <v>30</v>
      </c>
      <c r="J6" s="2">
        <f>30+1</f>
        <v>31</v>
      </c>
      <c r="K6" s="3"/>
      <c r="L6" s="4">
        <f>30+8</f>
        <v>38</v>
      </c>
      <c r="AH6" s="2">
        <f>208+1</f>
        <v>209</v>
      </c>
      <c r="AI6" s="3"/>
      <c r="AJ6" s="4">
        <f>208+2</f>
        <v>210</v>
      </c>
    </row>
    <row r="7" spans="2:36" x14ac:dyDescent="0.3">
      <c r="F7" s="5"/>
      <c r="G7" s="1" t="s">
        <v>35</v>
      </c>
      <c r="H7" s="6"/>
      <c r="J7" s="5"/>
      <c r="K7" s="1" t="s">
        <v>28</v>
      </c>
      <c r="L7" s="6"/>
      <c r="V7" s="2">
        <f>88+1</f>
        <v>89</v>
      </c>
      <c r="W7" s="3"/>
      <c r="X7" s="4">
        <f>88+80</f>
        <v>168</v>
      </c>
      <c r="Z7" s="2">
        <f>168+1</f>
        <v>169</v>
      </c>
      <c r="AA7" s="3"/>
      <c r="AB7" s="4">
        <f>168+5</f>
        <v>173</v>
      </c>
      <c r="AH7" s="5"/>
      <c r="AI7" s="1" t="s">
        <v>5</v>
      </c>
      <c r="AJ7" s="6"/>
    </row>
    <row r="8" spans="2:36" ht="15" thickBot="1" x14ac:dyDescent="0.35">
      <c r="F8" s="7">
        <f>14+1</f>
        <v>15</v>
      </c>
      <c r="G8" s="8"/>
      <c r="H8" s="9">
        <f>14+14</f>
        <v>28</v>
      </c>
      <c r="J8" s="7">
        <f>28+1</f>
        <v>29</v>
      </c>
      <c r="K8" s="8"/>
      <c r="L8" s="9">
        <f>28+8</f>
        <v>36</v>
      </c>
      <c r="V8" s="5"/>
      <c r="W8" s="1" t="s">
        <v>11</v>
      </c>
      <c r="X8" s="6"/>
      <c r="Z8" s="5"/>
      <c r="AA8" s="1" t="s">
        <v>13</v>
      </c>
      <c r="AB8" s="6"/>
      <c r="AH8" s="7">
        <f>168+1</f>
        <v>169</v>
      </c>
      <c r="AI8" s="8"/>
      <c r="AJ8" s="9">
        <f>168+2</f>
        <v>170</v>
      </c>
    </row>
    <row r="9" spans="2:36" ht="15" thickBot="1" x14ac:dyDescent="0.35">
      <c r="V9" s="7">
        <f>64+1</f>
        <v>65</v>
      </c>
      <c r="W9" s="8"/>
      <c r="X9" s="9">
        <f>64+70</f>
        <v>134</v>
      </c>
      <c r="Z9" s="7">
        <f>134+1</f>
        <v>135</v>
      </c>
      <c r="AA9" s="8"/>
      <c r="AB9" s="9">
        <f>134+5</f>
        <v>139</v>
      </c>
      <c r="AD9" s="2">
        <f>176+1</f>
        <v>177</v>
      </c>
      <c r="AE9" s="3"/>
      <c r="AF9" s="4">
        <f>176+16</f>
        <v>192</v>
      </c>
    </row>
    <row r="10" spans="2:36" ht="15" thickBot="1" x14ac:dyDescent="0.35">
      <c r="B10" s="2">
        <f>0+1</f>
        <v>1</v>
      </c>
      <c r="C10" s="3"/>
      <c r="D10" s="4">
        <f>0+14</f>
        <v>14</v>
      </c>
      <c r="N10" s="2">
        <f>38+1</f>
        <v>39</v>
      </c>
      <c r="O10" s="3"/>
      <c r="P10" s="4">
        <f>38+20</f>
        <v>58</v>
      </c>
      <c r="AD10" s="5"/>
      <c r="AE10" s="1" t="s">
        <v>45</v>
      </c>
      <c r="AF10" s="6"/>
    </row>
    <row r="11" spans="2:36" ht="15" thickBot="1" x14ac:dyDescent="0.35">
      <c r="B11" s="5"/>
      <c r="C11" s="1" t="s">
        <v>34</v>
      </c>
      <c r="D11" s="6"/>
      <c r="N11" s="5"/>
      <c r="O11" s="1" t="s">
        <v>29</v>
      </c>
      <c r="P11" s="6"/>
      <c r="Z11" s="2">
        <f>168+1</f>
        <v>169</v>
      </c>
      <c r="AA11" s="3"/>
      <c r="AB11" s="4">
        <f>168+8</f>
        <v>176</v>
      </c>
      <c r="AD11" s="7">
        <f>139+1</f>
        <v>140</v>
      </c>
      <c r="AE11" s="8"/>
      <c r="AF11" s="9">
        <f>139+10</f>
        <v>149</v>
      </c>
    </row>
    <row r="12" spans="2:36" ht="15" thickBot="1" x14ac:dyDescent="0.35">
      <c r="B12" s="7">
        <f>0+1</f>
        <v>1</v>
      </c>
      <c r="C12" s="8"/>
      <c r="D12" s="9">
        <f>0+14</f>
        <v>14</v>
      </c>
      <c r="N12" s="7">
        <f>36+1</f>
        <v>37</v>
      </c>
      <c r="O12" s="8"/>
      <c r="P12" s="9">
        <f>36+16</f>
        <v>52</v>
      </c>
      <c r="R12" s="2">
        <f>58+1</f>
        <v>59</v>
      </c>
      <c r="S12" s="3"/>
      <c r="T12" s="4">
        <f>58+20</f>
        <v>78</v>
      </c>
      <c r="Z12" s="5"/>
      <c r="AA12" s="1" t="s">
        <v>12</v>
      </c>
      <c r="AB12" s="6"/>
    </row>
    <row r="13" spans="2:36" ht="15" thickBot="1" x14ac:dyDescent="0.35">
      <c r="R13" s="5"/>
      <c r="S13" s="1" t="s">
        <v>20</v>
      </c>
      <c r="T13" s="6"/>
      <c r="Z13" s="7">
        <f>134+1</f>
        <v>135</v>
      </c>
      <c r="AA13" s="8"/>
      <c r="AB13" s="9">
        <f>134+3</f>
        <v>137</v>
      </c>
    </row>
    <row r="14" spans="2:36" ht="15" thickBot="1" x14ac:dyDescent="0.35">
      <c r="F14" s="2">
        <f>14+1</f>
        <v>15</v>
      </c>
      <c r="G14" s="3"/>
      <c r="H14" s="4">
        <f>14+4</f>
        <v>18</v>
      </c>
      <c r="J14" s="2">
        <f>18+1</f>
        <v>19</v>
      </c>
      <c r="K14" s="3"/>
      <c r="L14" s="4">
        <f>18+18</f>
        <v>36</v>
      </c>
      <c r="N14" s="2">
        <f>36+1</f>
        <v>37</v>
      </c>
      <c r="O14" s="3"/>
      <c r="P14" s="4">
        <f>36+14</f>
        <v>50</v>
      </c>
      <c r="R14" s="7">
        <f>52+1</f>
        <v>53</v>
      </c>
      <c r="S14" s="8"/>
      <c r="T14" s="9">
        <f>52+12</f>
        <v>64</v>
      </c>
    </row>
    <row r="15" spans="2:36" x14ac:dyDescent="0.3">
      <c r="F15" s="5"/>
      <c r="G15" s="1" t="s">
        <v>32</v>
      </c>
      <c r="H15" s="6"/>
      <c r="J15" s="5"/>
      <c r="K15" s="1" t="s">
        <v>25</v>
      </c>
      <c r="L15" s="6"/>
      <c r="N15" s="5"/>
      <c r="O15" s="1" t="s">
        <v>26</v>
      </c>
      <c r="P15" s="6"/>
    </row>
    <row r="16" spans="2:36" ht="15" thickBot="1" x14ac:dyDescent="0.35">
      <c r="F16" s="7">
        <f>14+1</f>
        <v>15</v>
      </c>
      <c r="G16" s="8"/>
      <c r="H16" s="9">
        <f>14+4</f>
        <v>18</v>
      </c>
      <c r="J16" s="7">
        <f>18+1</f>
        <v>19</v>
      </c>
      <c r="K16" s="8"/>
      <c r="L16" s="9">
        <f>18+16</f>
        <v>34</v>
      </c>
      <c r="N16" s="7">
        <f>34+1</f>
        <v>35</v>
      </c>
      <c r="O16" s="8"/>
      <c r="P16" s="9">
        <f>34+8</f>
        <v>42</v>
      </c>
    </row>
    <row r="21" spans="1:36" ht="15" thickBot="1" x14ac:dyDescent="0.35">
      <c r="A21" s="1" t="s">
        <v>46</v>
      </c>
    </row>
    <row r="22" spans="1:36" ht="15" thickBot="1" x14ac:dyDescent="0.35">
      <c r="N22" s="2">
        <f>38+1</f>
        <v>39</v>
      </c>
      <c r="O22" s="3"/>
      <c r="P22" s="4">
        <f>38+36</f>
        <v>74</v>
      </c>
      <c r="R22" s="2">
        <f>74+1</f>
        <v>75</v>
      </c>
      <c r="S22" s="3"/>
      <c r="T22" s="4">
        <f>74+14</f>
        <v>88</v>
      </c>
    </row>
    <row r="23" spans="1:36" x14ac:dyDescent="0.3">
      <c r="N23" s="5"/>
      <c r="O23" s="1" t="s">
        <v>22</v>
      </c>
      <c r="P23" s="6"/>
      <c r="R23" s="5"/>
      <c r="S23" s="1" t="s">
        <v>23</v>
      </c>
      <c r="T23" s="6"/>
      <c r="Z23" s="2">
        <f>168+1</f>
        <v>169</v>
      </c>
      <c r="AA23" s="3"/>
      <c r="AB23" s="4">
        <f>168+20</f>
        <v>188</v>
      </c>
      <c r="AD23" s="2">
        <f>188+1</f>
        <v>189</v>
      </c>
      <c r="AE23" s="3"/>
      <c r="AF23" s="4">
        <f>188+20</f>
        <v>208</v>
      </c>
    </row>
    <row r="24" spans="1:36" ht="15" thickBot="1" x14ac:dyDescent="0.35">
      <c r="N24" s="7">
        <f>38+1</f>
        <v>39</v>
      </c>
      <c r="O24" s="8"/>
      <c r="P24" s="9">
        <f>38+36</f>
        <v>74</v>
      </c>
      <c r="R24" s="7">
        <f>74+1</f>
        <v>75</v>
      </c>
      <c r="S24" s="8"/>
      <c r="T24" s="9">
        <f>74+14</f>
        <v>88</v>
      </c>
      <c r="Z24" s="5"/>
      <c r="AA24" s="1" t="s">
        <v>15</v>
      </c>
      <c r="AB24" s="6"/>
      <c r="AD24" s="5"/>
      <c r="AE24" s="1" t="s">
        <v>16</v>
      </c>
      <c r="AF24" s="6"/>
    </row>
    <row r="25" spans="1:36" ht="15" thickBot="1" x14ac:dyDescent="0.35">
      <c r="Z25" s="7">
        <f>168+1</f>
        <v>169</v>
      </c>
      <c r="AA25" s="8"/>
      <c r="AB25" s="9">
        <f>168+20</f>
        <v>188</v>
      </c>
      <c r="AD25" s="7">
        <f>188+1</f>
        <v>189</v>
      </c>
      <c r="AE25" s="8"/>
      <c r="AF25" s="9">
        <f>188+20</f>
        <v>208</v>
      </c>
    </row>
    <row r="26" spans="1:36" ht="15" thickBot="1" x14ac:dyDescent="0.35">
      <c r="F26" s="2">
        <f>14+1</f>
        <v>15</v>
      </c>
      <c r="G26" s="3"/>
      <c r="H26" s="4">
        <f>14+16</f>
        <v>30</v>
      </c>
      <c r="J26" s="2">
        <f>30+1</f>
        <v>31</v>
      </c>
      <c r="K26" s="3"/>
      <c r="L26" s="4">
        <f>30+8</f>
        <v>38</v>
      </c>
      <c r="AH26" s="2">
        <f>208+1</f>
        <v>209</v>
      </c>
      <c r="AI26" s="3"/>
      <c r="AJ26" s="4">
        <f>208+2</f>
        <v>210</v>
      </c>
    </row>
    <row r="27" spans="1:36" x14ac:dyDescent="0.3">
      <c r="F27" s="5"/>
      <c r="G27" s="1" t="s">
        <v>35</v>
      </c>
      <c r="H27" s="6"/>
      <c r="J27" s="5"/>
      <c r="K27" s="1" t="s">
        <v>28</v>
      </c>
      <c r="L27" s="6"/>
      <c r="V27" s="2">
        <f>88+1</f>
        <v>89</v>
      </c>
      <c r="W27" s="3"/>
      <c r="X27" s="4">
        <f>88+80</f>
        <v>168</v>
      </c>
      <c r="Z27" s="2">
        <f>168+1</f>
        <v>169</v>
      </c>
      <c r="AA27" s="3"/>
      <c r="AB27" s="4">
        <f>168+5</f>
        <v>173</v>
      </c>
      <c r="AH27" s="5"/>
      <c r="AI27" s="1" t="s">
        <v>5</v>
      </c>
      <c r="AJ27" s="6"/>
    </row>
    <row r="28" spans="1:36" ht="15" thickBot="1" x14ac:dyDescent="0.35">
      <c r="F28" s="7">
        <f>14+1</f>
        <v>15</v>
      </c>
      <c r="G28" s="8"/>
      <c r="H28" s="9">
        <f>14+16</f>
        <v>30</v>
      </c>
      <c r="J28" s="7">
        <v>31</v>
      </c>
      <c r="K28" s="8"/>
      <c r="L28" s="9">
        <f>30+8</f>
        <v>38</v>
      </c>
      <c r="V28" s="5"/>
      <c r="W28" s="1" t="s">
        <v>11</v>
      </c>
      <c r="X28" s="6"/>
      <c r="Z28" s="5"/>
      <c r="AA28" s="1" t="s">
        <v>13</v>
      </c>
      <c r="AB28" s="6"/>
      <c r="AH28" s="7">
        <v>209</v>
      </c>
      <c r="AI28" s="8"/>
      <c r="AJ28" s="9">
        <v>210</v>
      </c>
    </row>
    <row r="29" spans="1:36" ht="15" thickBot="1" x14ac:dyDescent="0.35">
      <c r="V29" s="7">
        <f>169-80</f>
        <v>89</v>
      </c>
      <c r="W29" s="8"/>
      <c r="X29" s="9">
        <f>169-1</f>
        <v>168</v>
      </c>
      <c r="Z29" s="7">
        <f>193-5</f>
        <v>188</v>
      </c>
      <c r="AA29" s="8"/>
      <c r="AB29" s="9">
        <f>193-1</f>
        <v>192</v>
      </c>
      <c r="AD29" s="2">
        <f>176+1</f>
        <v>177</v>
      </c>
      <c r="AE29" s="3"/>
      <c r="AF29" s="4">
        <f>176+16</f>
        <v>192</v>
      </c>
    </row>
    <row r="30" spans="1:36" ht="15" thickBot="1" x14ac:dyDescent="0.35">
      <c r="B30" s="2">
        <f>0+1</f>
        <v>1</v>
      </c>
      <c r="C30" s="3"/>
      <c r="D30" s="4">
        <f>0+14</f>
        <v>14</v>
      </c>
      <c r="N30" s="2">
        <f>38+1</f>
        <v>39</v>
      </c>
      <c r="O30" s="3"/>
      <c r="P30" s="4">
        <f>38+20</f>
        <v>58</v>
      </c>
      <c r="AD30" s="5"/>
      <c r="AE30" s="1" t="s">
        <v>45</v>
      </c>
      <c r="AF30" s="6"/>
    </row>
    <row r="31" spans="1:36" ht="15" thickBot="1" x14ac:dyDescent="0.35">
      <c r="B31" s="5"/>
      <c r="C31" s="1" t="s">
        <v>34</v>
      </c>
      <c r="D31" s="6"/>
      <c r="N31" s="5"/>
      <c r="O31" s="1" t="s">
        <v>29</v>
      </c>
      <c r="P31" s="6"/>
      <c r="Z31" s="2">
        <f>168+1</f>
        <v>169</v>
      </c>
      <c r="AA31" s="3"/>
      <c r="AB31" s="4">
        <f>168+8</f>
        <v>176</v>
      </c>
      <c r="AD31" s="7">
        <f>209-16</f>
        <v>193</v>
      </c>
      <c r="AE31" s="8"/>
      <c r="AF31" s="9">
        <f>209-1</f>
        <v>208</v>
      </c>
    </row>
    <row r="32" spans="1:36" ht="15" thickBot="1" x14ac:dyDescent="0.35">
      <c r="B32" s="7">
        <f>0+1</f>
        <v>1</v>
      </c>
      <c r="C32" s="8"/>
      <c r="D32" s="9">
        <f>0+14</f>
        <v>14</v>
      </c>
      <c r="N32" s="7">
        <f>69-20</f>
        <v>49</v>
      </c>
      <c r="O32" s="8"/>
      <c r="P32" s="9">
        <f>69-1</f>
        <v>68</v>
      </c>
      <c r="R32" s="2">
        <f>58+1</f>
        <v>59</v>
      </c>
      <c r="S32" s="3"/>
      <c r="T32" s="4">
        <f>58+20</f>
        <v>78</v>
      </c>
      <c r="Z32" s="5"/>
      <c r="AA32" s="1" t="s">
        <v>12</v>
      </c>
      <c r="AB32" s="6"/>
    </row>
    <row r="33" spans="1:36" ht="15" thickBot="1" x14ac:dyDescent="0.35">
      <c r="R33" s="5"/>
      <c r="S33" s="1" t="s">
        <v>20</v>
      </c>
      <c r="T33" s="6"/>
      <c r="Z33" s="7">
        <f>193-8</f>
        <v>185</v>
      </c>
      <c r="AA33" s="8"/>
      <c r="AB33" s="9">
        <f>193-1</f>
        <v>192</v>
      </c>
    </row>
    <row r="34" spans="1:36" ht="15" thickBot="1" x14ac:dyDescent="0.35">
      <c r="F34" s="2">
        <f>14+1</f>
        <v>15</v>
      </c>
      <c r="G34" s="3"/>
      <c r="H34" s="4">
        <f>14+4</f>
        <v>18</v>
      </c>
      <c r="J34" s="2">
        <f>18+1</f>
        <v>19</v>
      </c>
      <c r="K34" s="3"/>
      <c r="L34" s="4">
        <f>18+18</f>
        <v>36</v>
      </c>
      <c r="N34" s="2">
        <f>36+1</f>
        <v>37</v>
      </c>
      <c r="O34" s="3"/>
      <c r="P34" s="4">
        <f>36+14</f>
        <v>50</v>
      </c>
      <c r="R34" s="7">
        <f>89-20</f>
        <v>69</v>
      </c>
      <c r="S34" s="8"/>
      <c r="T34" s="9">
        <f>89-1</f>
        <v>88</v>
      </c>
    </row>
    <row r="35" spans="1:36" x14ac:dyDescent="0.3">
      <c r="F35" s="5"/>
      <c r="G35" s="1" t="s">
        <v>32</v>
      </c>
      <c r="H35" s="6"/>
      <c r="J35" s="5"/>
      <c r="K35" s="1" t="s">
        <v>25</v>
      </c>
      <c r="L35" s="6"/>
      <c r="N35" s="5"/>
      <c r="O35" s="1" t="s">
        <v>26</v>
      </c>
      <c r="P35" s="6"/>
    </row>
    <row r="36" spans="1:36" ht="15" thickBot="1" x14ac:dyDescent="0.35">
      <c r="F36" s="7">
        <f>37-4</f>
        <v>33</v>
      </c>
      <c r="G36" s="8"/>
      <c r="H36" s="9">
        <f>37-1</f>
        <v>36</v>
      </c>
      <c r="J36" s="7">
        <f>55-18</f>
        <v>37</v>
      </c>
      <c r="K36" s="8"/>
      <c r="L36" s="9">
        <f>55-1</f>
        <v>54</v>
      </c>
      <c r="N36" s="7">
        <f>69-14</f>
        <v>55</v>
      </c>
      <c r="O36" s="8"/>
      <c r="P36" s="9">
        <f>69-1</f>
        <v>68</v>
      </c>
    </row>
    <row r="41" spans="1:36" ht="15" thickBot="1" x14ac:dyDescent="0.35">
      <c r="A41" s="1" t="s">
        <v>47</v>
      </c>
    </row>
    <row r="42" spans="1:36" ht="15" thickBot="1" x14ac:dyDescent="0.35">
      <c r="N42" s="2">
        <f>36+1</f>
        <v>37</v>
      </c>
      <c r="O42" s="3"/>
      <c r="P42" s="4">
        <f>36+16</f>
        <v>52</v>
      </c>
      <c r="R42" s="2">
        <f>52+1</f>
        <v>53</v>
      </c>
      <c r="S42" s="3"/>
      <c r="T42" s="4">
        <f>52+6</f>
        <v>58</v>
      </c>
    </row>
    <row r="43" spans="1:36" x14ac:dyDescent="0.3">
      <c r="N43" s="5"/>
      <c r="O43" s="1" t="s">
        <v>22</v>
      </c>
      <c r="P43" s="6"/>
      <c r="R43" s="5"/>
      <c r="S43" s="1" t="s">
        <v>23</v>
      </c>
      <c r="T43" s="6"/>
      <c r="Z43" s="2">
        <f>134+1</f>
        <v>135</v>
      </c>
      <c r="AA43" s="3"/>
      <c r="AB43" s="4">
        <f>134+18</f>
        <v>152</v>
      </c>
      <c r="AD43" s="2">
        <f>152+1</f>
        <v>153</v>
      </c>
      <c r="AE43" s="3"/>
      <c r="AF43" s="4">
        <f>152+16</f>
        <v>168</v>
      </c>
    </row>
    <row r="44" spans="1:36" ht="15" thickBot="1" x14ac:dyDescent="0.35">
      <c r="N44" s="7">
        <f>59-16</f>
        <v>43</v>
      </c>
      <c r="O44" s="8"/>
      <c r="P44" s="9">
        <f>59-1</f>
        <v>58</v>
      </c>
      <c r="R44" s="7">
        <f>65-6</f>
        <v>59</v>
      </c>
      <c r="S44" s="8"/>
      <c r="T44" s="9">
        <f>65-1</f>
        <v>64</v>
      </c>
      <c r="Z44" s="5"/>
      <c r="AA44" s="1" t="s">
        <v>15</v>
      </c>
      <c r="AB44" s="6"/>
      <c r="AD44" s="5"/>
      <c r="AE44" s="1" t="s">
        <v>16</v>
      </c>
      <c r="AF44" s="6"/>
    </row>
    <row r="45" spans="1:36" ht="15" thickBot="1" x14ac:dyDescent="0.35">
      <c r="Z45" s="7">
        <f>134+1</f>
        <v>135</v>
      </c>
      <c r="AA45" s="8"/>
      <c r="AB45" s="9">
        <f>134+18</f>
        <v>152</v>
      </c>
      <c r="AD45" s="7">
        <f>152+1</f>
        <v>153</v>
      </c>
      <c r="AE45" s="8"/>
      <c r="AF45" s="9">
        <f>152+16</f>
        <v>168</v>
      </c>
    </row>
    <row r="46" spans="1:36" ht="15" thickBot="1" x14ac:dyDescent="0.35">
      <c r="F46" s="2">
        <f>14+1</f>
        <v>15</v>
      </c>
      <c r="G46" s="3"/>
      <c r="H46" s="4">
        <f>14+14</f>
        <v>28</v>
      </c>
      <c r="J46" s="2">
        <f>28+1</f>
        <v>29</v>
      </c>
      <c r="K46" s="3"/>
      <c r="L46" s="4">
        <f>28+8</f>
        <v>36</v>
      </c>
      <c r="AH46" s="2">
        <f>168+1</f>
        <v>169</v>
      </c>
      <c r="AI46" s="3"/>
      <c r="AJ46" s="4">
        <f>168+2</f>
        <v>170</v>
      </c>
    </row>
    <row r="47" spans="1:36" x14ac:dyDescent="0.3">
      <c r="F47" s="5"/>
      <c r="G47" s="1" t="s">
        <v>35</v>
      </c>
      <c r="H47" s="6"/>
      <c r="J47" s="5"/>
      <c r="K47" s="1" t="s">
        <v>28</v>
      </c>
      <c r="L47" s="6"/>
      <c r="V47" s="2">
        <f>64+1</f>
        <v>65</v>
      </c>
      <c r="W47" s="3"/>
      <c r="X47" s="4">
        <f>64+70</f>
        <v>134</v>
      </c>
      <c r="Z47" s="2">
        <f>134+1</f>
        <v>135</v>
      </c>
      <c r="AA47" s="3"/>
      <c r="AB47" s="4">
        <f>134+5</f>
        <v>139</v>
      </c>
      <c r="AH47" s="5"/>
      <c r="AI47" s="1" t="s">
        <v>5</v>
      </c>
      <c r="AJ47" s="6"/>
    </row>
    <row r="48" spans="1:36" ht="15" thickBot="1" x14ac:dyDescent="0.35">
      <c r="F48" s="7">
        <f>14+1</f>
        <v>15</v>
      </c>
      <c r="G48" s="8"/>
      <c r="H48" s="9">
        <f>14+14</f>
        <v>28</v>
      </c>
      <c r="J48" s="7">
        <f>28+1</f>
        <v>29</v>
      </c>
      <c r="K48" s="8"/>
      <c r="L48" s="9">
        <f>28+8</f>
        <v>36</v>
      </c>
      <c r="V48" s="5"/>
      <c r="W48" s="1" t="s">
        <v>11</v>
      </c>
      <c r="X48" s="6"/>
      <c r="Z48" s="5"/>
      <c r="AA48" s="1" t="s">
        <v>13</v>
      </c>
      <c r="AB48" s="6"/>
      <c r="AH48" s="7">
        <f>168+1</f>
        <v>169</v>
      </c>
      <c r="AI48" s="8"/>
      <c r="AJ48" s="9">
        <f>168+2</f>
        <v>170</v>
      </c>
    </row>
    <row r="49" spans="1:32" ht="15" thickBot="1" x14ac:dyDescent="0.35">
      <c r="V49" s="7">
        <f>135-70</f>
        <v>65</v>
      </c>
      <c r="W49" s="8"/>
      <c r="X49" s="9">
        <f>135-1</f>
        <v>134</v>
      </c>
      <c r="Z49" s="7">
        <f>159-5</f>
        <v>154</v>
      </c>
      <c r="AA49" s="8"/>
      <c r="AB49" s="9">
        <f>159-1</f>
        <v>158</v>
      </c>
      <c r="AD49" s="2">
        <f>139+1</f>
        <v>140</v>
      </c>
      <c r="AE49" s="3"/>
      <c r="AF49" s="4">
        <f>139+10</f>
        <v>149</v>
      </c>
    </row>
    <row r="50" spans="1:32" ht="15" thickBot="1" x14ac:dyDescent="0.35">
      <c r="B50" s="2">
        <f>0+1</f>
        <v>1</v>
      </c>
      <c r="C50" s="3"/>
      <c r="D50" s="4">
        <f>0+14</f>
        <v>14</v>
      </c>
      <c r="N50" s="2">
        <f>36+1</f>
        <v>37</v>
      </c>
      <c r="O50" s="3"/>
      <c r="P50" s="4">
        <f>36+16</f>
        <v>52</v>
      </c>
      <c r="AD50" s="5"/>
      <c r="AE50" s="1" t="s">
        <v>45</v>
      </c>
      <c r="AF50" s="6"/>
    </row>
    <row r="51" spans="1:32" ht="15" thickBot="1" x14ac:dyDescent="0.35">
      <c r="B51" s="5"/>
      <c r="C51" s="1" t="s">
        <v>34</v>
      </c>
      <c r="D51" s="6"/>
      <c r="N51" s="5"/>
      <c r="O51" s="1" t="s">
        <v>29</v>
      </c>
      <c r="P51" s="6"/>
      <c r="Z51" s="2">
        <f>134+1</f>
        <v>135</v>
      </c>
      <c r="AA51" s="3"/>
      <c r="AB51" s="4">
        <f>134+3</f>
        <v>137</v>
      </c>
      <c r="AD51" s="7">
        <f>169-10</f>
        <v>159</v>
      </c>
      <c r="AE51" s="8"/>
      <c r="AF51" s="9">
        <f>169-1</f>
        <v>168</v>
      </c>
    </row>
    <row r="52" spans="1:32" ht="15" thickBot="1" x14ac:dyDescent="0.35">
      <c r="B52" s="7">
        <f>0+1</f>
        <v>1</v>
      </c>
      <c r="C52" s="8"/>
      <c r="D52" s="9">
        <f>0+14</f>
        <v>14</v>
      </c>
      <c r="N52" s="7">
        <f>36+1</f>
        <v>37</v>
      </c>
      <c r="O52" s="8"/>
      <c r="P52" s="9">
        <f>36+16</f>
        <v>52</v>
      </c>
      <c r="R52" s="2">
        <f>52+1</f>
        <v>53</v>
      </c>
      <c r="S52" s="3"/>
      <c r="T52" s="4">
        <f>52+12</f>
        <v>64</v>
      </c>
      <c r="Z52" s="5"/>
      <c r="AA52" s="1" t="s">
        <v>12</v>
      </c>
      <c r="AB52" s="6"/>
    </row>
    <row r="53" spans="1:32" ht="15" thickBot="1" x14ac:dyDescent="0.35">
      <c r="R53" s="5"/>
      <c r="S53" s="1" t="s">
        <v>20</v>
      </c>
      <c r="T53" s="6"/>
      <c r="Z53" s="7">
        <f>159-3</f>
        <v>156</v>
      </c>
      <c r="AA53" s="8"/>
      <c r="AB53" s="9">
        <f>159-1</f>
        <v>158</v>
      </c>
    </row>
    <row r="54" spans="1:32" ht="15" thickBot="1" x14ac:dyDescent="0.35">
      <c r="F54" s="2">
        <f>14+1</f>
        <v>15</v>
      </c>
      <c r="G54" s="3"/>
      <c r="H54" s="4">
        <f>14+4</f>
        <v>18</v>
      </c>
      <c r="J54" s="2">
        <f>18+1</f>
        <v>19</v>
      </c>
      <c r="K54" s="3"/>
      <c r="L54" s="4">
        <f>18+16</f>
        <v>34</v>
      </c>
      <c r="N54" s="2">
        <f>34+1</f>
        <v>35</v>
      </c>
      <c r="O54" s="3"/>
      <c r="P54" s="4">
        <f>34+8</f>
        <v>42</v>
      </c>
      <c r="R54" s="7">
        <f>65-12</f>
        <v>53</v>
      </c>
      <c r="S54" s="8"/>
      <c r="T54" s="9">
        <f>65-1</f>
        <v>64</v>
      </c>
    </row>
    <row r="55" spans="1:32" x14ac:dyDescent="0.3">
      <c r="F55" s="5"/>
      <c r="G55" s="1" t="s">
        <v>32</v>
      </c>
      <c r="H55" s="6"/>
      <c r="J55" s="5"/>
      <c r="K55" s="1" t="s">
        <v>25</v>
      </c>
      <c r="L55" s="6"/>
      <c r="N55" s="5"/>
      <c r="O55" s="1" t="s">
        <v>26</v>
      </c>
      <c r="P55" s="6"/>
    </row>
    <row r="56" spans="1:32" ht="15" thickBot="1" x14ac:dyDescent="0.35">
      <c r="F56" s="7">
        <f>29-4</f>
        <v>25</v>
      </c>
      <c r="G56" s="8"/>
      <c r="H56" s="9">
        <f>29-1</f>
        <v>28</v>
      </c>
      <c r="J56" s="7">
        <f>45-16</f>
        <v>29</v>
      </c>
      <c r="K56" s="8"/>
      <c r="L56" s="9">
        <f>45-1</f>
        <v>44</v>
      </c>
      <c r="N56" s="7">
        <f>53-8</f>
        <v>45</v>
      </c>
      <c r="O56" s="8"/>
      <c r="P56" s="9">
        <f>53-1</f>
        <v>52</v>
      </c>
    </row>
    <row r="61" spans="1:32" ht="15" thickBot="1" x14ac:dyDescent="0.35">
      <c r="A61" s="1" t="s">
        <v>48</v>
      </c>
    </row>
    <row r="62" spans="1:32" ht="15" thickBot="1" x14ac:dyDescent="0.35">
      <c r="N62" s="2">
        <f>38+1</f>
        <v>39</v>
      </c>
      <c r="O62" s="3"/>
      <c r="P62" s="4">
        <f>38+36</f>
        <v>74</v>
      </c>
      <c r="R62" s="2">
        <f>74+1</f>
        <v>75</v>
      </c>
      <c r="S62" s="3"/>
      <c r="T62" s="4">
        <f>74+14</f>
        <v>88</v>
      </c>
    </row>
    <row r="63" spans="1:32" x14ac:dyDescent="0.3">
      <c r="N63" s="5"/>
      <c r="O63" s="1" t="s">
        <v>22</v>
      </c>
      <c r="P63" s="6"/>
      <c r="R63" s="5"/>
      <c r="S63" s="1" t="s">
        <v>23</v>
      </c>
      <c r="T63" s="6"/>
      <c r="Z63" s="2">
        <f>168+1</f>
        <v>169</v>
      </c>
      <c r="AA63" s="3"/>
      <c r="AB63" s="4">
        <f>168+20</f>
        <v>188</v>
      </c>
      <c r="AD63" s="2">
        <f>188+1</f>
        <v>189</v>
      </c>
      <c r="AE63" s="3"/>
      <c r="AF63" s="4">
        <f>188+20</f>
        <v>208</v>
      </c>
    </row>
    <row r="64" spans="1:32" ht="15" thickBot="1" x14ac:dyDescent="0.35">
      <c r="N64" s="7">
        <f>38+1</f>
        <v>39</v>
      </c>
      <c r="O64" s="8"/>
      <c r="P64" s="9">
        <f>38+16</f>
        <v>54</v>
      </c>
      <c r="R64" s="7">
        <f>54+1</f>
        <v>55</v>
      </c>
      <c r="S64" s="8"/>
      <c r="T64" s="9">
        <f>54+14</f>
        <v>68</v>
      </c>
      <c r="Z64" s="5"/>
      <c r="AA64" s="1" t="s">
        <v>15</v>
      </c>
      <c r="AB64" s="6"/>
      <c r="AD64" s="5"/>
      <c r="AE64" s="1" t="s">
        <v>16</v>
      </c>
      <c r="AF64" s="6"/>
    </row>
    <row r="65" spans="1:39" ht="15" thickBot="1" x14ac:dyDescent="0.35">
      <c r="Z65" s="7">
        <f>138+1</f>
        <v>139</v>
      </c>
      <c r="AA65" s="8"/>
      <c r="AB65" s="9">
        <f>138+20</f>
        <v>158</v>
      </c>
      <c r="AD65" s="7">
        <f>158+1</f>
        <v>159</v>
      </c>
      <c r="AE65" s="8"/>
      <c r="AF65" s="9">
        <f>158+20</f>
        <v>178</v>
      </c>
    </row>
    <row r="66" spans="1:39" ht="15" thickBot="1" x14ac:dyDescent="0.35">
      <c r="F66" s="2">
        <f>14+1</f>
        <v>15</v>
      </c>
      <c r="G66" s="3"/>
      <c r="H66" s="4">
        <f>14+16</f>
        <v>30</v>
      </c>
      <c r="J66" s="2">
        <f>30+1</f>
        <v>31</v>
      </c>
      <c r="K66" s="3"/>
      <c r="L66" s="4">
        <f>30+8</f>
        <v>38</v>
      </c>
      <c r="AH66" s="2">
        <f>208+1</f>
        <v>209</v>
      </c>
      <c r="AI66" s="3"/>
      <c r="AJ66" s="4">
        <f>208+2</f>
        <v>210</v>
      </c>
      <c r="AL66" s="1" t="s">
        <v>29</v>
      </c>
      <c r="AM66" s="1">
        <f>1400 * 2</f>
        <v>2800</v>
      </c>
    </row>
    <row r="67" spans="1:39" x14ac:dyDescent="0.3">
      <c r="F67" s="5"/>
      <c r="G67" s="1" t="s">
        <v>35</v>
      </c>
      <c r="H67" s="6"/>
      <c r="J67" s="5"/>
      <c r="K67" s="1" t="s">
        <v>28</v>
      </c>
      <c r="L67" s="6"/>
      <c r="V67" s="2">
        <f>88+1</f>
        <v>89</v>
      </c>
      <c r="W67" s="3"/>
      <c r="X67" s="4">
        <f>88+80</f>
        <v>168</v>
      </c>
      <c r="Z67" s="2">
        <f>168+1</f>
        <v>169</v>
      </c>
      <c r="AA67" s="3"/>
      <c r="AB67" s="4">
        <f>168+5</f>
        <v>173</v>
      </c>
      <c r="AH67" s="5"/>
      <c r="AI67" s="1" t="s">
        <v>5</v>
      </c>
      <c r="AJ67" s="6"/>
      <c r="AL67" s="1" t="s">
        <v>22</v>
      </c>
      <c r="AM67" s="1">
        <f>1200 * 20</f>
        <v>24000</v>
      </c>
    </row>
    <row r="68" spans="1:39" ht="15" thickBot="1" x14ac:dyDescent="0.35">
      <c r="F68" s="7">
        <f>14+1</f>
        <v>15</v>
      </c>
      <c r="G68" s="8"/>
      <c r="H68" s="9">
        <f>14+16</f>
        <v>30</v>
      </c>
      <c r="J68" s="7">
        <f>30+1</f>
        <v>31</v>
      </c>
      <c r="K68" s="8"/>
      <c r="L68" s="9">
        <f>30+8</f>
        <v>38</v>
      </c>
      <c r="V68" s="5"/>
      <c r="W68" s="1" t="s">
        <v>11</v>
      </c>
      <c r="X68" s="6"/>
      <c r="Z68" s="5"/>
      <c r="AA68" s="1" t="s">
        <v>13</v>
      </c>
      <c r="AB68" s="6"/>
      <c r="AH68" s="7">
        <f>178+1</f>
        <v>179</v>
      </c>
      <c r="AI68" s="8"/>
      <c r="AJ68" s="9">
        <f>178+2</f>
        <v>180</v>
      </c>
      <c r="AL68" s="1" t="s">
        <v>20</v>
      </c>
      <c r="AM68" s="1">
        <f>1200 * 8</f>
        <v>9600</v>
      </c>
    </row>
    <row r="69" spans="1:39" ht="15" thickBot="1" x14ac:dyDescent="0.35">
      <c r="V69" s="7">
        <f>68+1</f>
        <v>69</v>
      </c>
      <c r="W69" s="8"/>
      <c r="X69" s="9">
        <f>68+70</f>
        <v>138</v>
      </c>
      <c r="Z69" s="7">
        <f>138+1</f>
        <v>139</v>
      </c>
      <c r="AA69" s="8"/>
      <c r="AB69" s="9">
        <f>138+5</f>
        <v>143</v>
      </c>
      <c r="AD69" s="2">
        <f>176+1</f>
        <v>177</v>
      </c>
      <c r="AE69" s="3"/>
      <c r="AF69" s="4">
        <f>176+16</f>
        <v>192</v>
      </c>
      <c r="AL69" s="1" t="s">
        <v>11</v>
      </c>
      <c r="AM69" s="1">
        <f>1200 * 10</f>
        <v>12000</v>
      </c>
    </row>
    <row r="70" spans="1:39" ht="15" thickBot="1" x14ac:dyDescent="0.35">
      <c r="B70" s="2">
        <f>0+1</f>
        <v>1</v>
      </c>
      <c r="C70" s="3"/>
      <c r="D70" s="4">
        <f>0+14</f>
        <v>14</v>
      </c>
      <c r="N70" s="2">
        <f>38+1</f>
        <v>39</v>
      </c>
      <c r="O70" s="3"/>
      <c r="P70" s="4">
        <f>38+20</f>
        <v>58</v>
      </c>
      <c r="AD70" s="5"/>
      <c r="AE70" s="1" t="s">
        <v>45</v>
      </c>
      <c r="AF70" s="6"/>
      <c r="AM70" s="1">
        <f>SUM(AM66:AM69)</f>
        <v>48400</v>
      </c>
    </row>
    <row r="71" spans="1:39" ht="15" thickBot="1" x14ac:dyDescent="0.35">
      <c r="B71" s="5"/>
      <c r="C71" s="1" t="s">
        <v>34</v>
      </c>
      <c r="D71" s="6"/>
      <c r="N71" s="5"/>
      <c r="O71" s="1" t="s">
        <v>29</v>
      </c>
      <c r="P71" s="6"/>
      <c r="Z71" s="2">
        <f>168+1</f>
        <v>169</v>
      </c>
      <c r="AA71" s="3"/>
      <c r="AB71" s="4">
        <f>168+8</f>
        <v>176</v>
      </c>
      <c r="AD71" s="7">
        <f>146+1</f>
        <v>147</v>
      </c>
      <c r="AE71" s="8"/>
      <c r="AF71" s="9">
        <f>146+16</f>
        <v>162</v>
      </c>
    </row>
    <row r="72" spans="1:39" ht="15" thickBot="1" x14ac:dyDescent="0.35">
      <c r="B72" s="7">
        <f>0+1</f>
        <v>1</v>
      </c>
      <c r="C72" s="8"/>
      <c r="D72" s="9">
        <f>0+14</f>
        <v>14</v>
      </c>
      <c r="N72" s="7">
        <f>38+1</f>
        <v>39</v>
      </c>
      <c r="O72" s="8"/>
      <c r="P72" s="9">
        <f>38+18</f>
        <v>56</v>
      </c>
      <c r="R72" s="2">
        <f>58+1</f>
        <v>59</v>
      </c>
      <c r="S72" s="3"/>
      <c r="T72" s="4">
        <f>58+20</f>
        <v>78</v>
      </c>
      <c r="Z72" s="5"/>
      <c r="AA72" s="1" t="s">
        <v>12</v>
      </c>
      <c r="AB72" s="6"/>
    </row>
    <row r="73" spans="1:39" ht="15" thickBot="1" x14ac:dyDescent="0.35">
      <c r="R73" s="5"/>
      <c r="S73" s="1" t="s">
        <v>20</v>
      </c>
      <c r="T73" s="6"/>
      <c r="Z73" s="7">
        <f>138+1</f>
        <v>139</v>
      </c>
      <c r="AA73" s="8"/>
      <c r="AB73" s="9">
        <f>138+8</f>
        <v>146</v>
      </c>
    </row>
    <row r="74" spans="1:39" ht="15" thickBot="1" x14ac:dyDescent="0.35">
      <c r="F74" s="2">
        <f>14+1</f>
        <v>15</v>
      </c>
      <c r="G74" s="3"/>
      <c r="H74" s="4">
        <f>14+4</f>
        <v>18</v>
      </c>
      <c r="J74" s="2">
        <f>18+1</f>
        <v>19</v>
      </c>
      <c r="K74" s="3"/>
      <c r="L74" s="4">
        <f>18+18</f>
        <v>36</v>
      </c>
      <c r="N74" s="2">
        <f>36+1</f>
        <v>37</v>
      </c>
      <c r="O74" s="3"/>
      <c r="P74" s="4">
        <f>36+14</f>
        <v>50</v>
      </c>
      <c r="R74" s="7">
        <f>56+1</f>
        <v>57</v>
      </c>
      <c r="S74" s="8"/>
      <c r="T74" s="9">
        <f>56+12</f>
        <v>68</v>
      </c>
    </row>
    <row r="75" spans="1:39" x14ac:dyDescent="0.3">
      <c r="F75" s="5"/>
      <c r="G75" s="1" t="s">
        <v>32</v>
      </c>
      <c r="H75" s="6"/>
      <c r="J75" s="5"/>
      <c r="K75" s="1" t="s">
        <v>25</v>
      </c>
      <c r="L75" s="6"/>
      <c r="N75" s="5"/>
      <c r="O75" s="1" t="s">
        <v>26</v>
      </c>
      <c r="P75" s="6"/>
    </row>
    <row r="76" spans="1:39" ht="15" thickBot="1" x14ac:dyDescent="0.35">
      <c r="F76" s="7">
        <f>14+1</f>
        <v>15</v>
      </c>
      <c r="G76" s="8"/>
      <c r="H76" s="9">
        <f>14+4</f>
        <v>18</v>
      </c>
      <c r="J76" s="7">
        <f>18+1</f>
        <v>19</v>
      </c>
      <c r="K76" s="8"/>
      <c r="L76" s="9">
        <f>18+18</f>
        <v>36</v>
      </c>
      <c r="N76" s="7">
        <f>36+1</f>
        <v>37</v>
      </c>
      <c r="O76" s="8"/>
      <c r="P76" s="9">
        <f>36+14</f>
        <v>50</v>
      </c>
    </row>
    <row r="79" spans="1:39" ht="15" thickBot="1" x14ac:dyDescent="0.35">
      <c r="A79" s="1" t="s">
        <v>11</v>
      </c>
    </row>
    <row r="80" spans="1:39" ht="15" thickBot="1" x14ac:dyDescent="0.35">
      <c r="A80" s="1">
        <f>1200*10</f>
        <v>12000</v>
      </c>
      <c r="N80" s="2">
        <f>38+1</f>
        <v>39</v>
      </c>
      <c r="O80" s="3"/>
      <c r="P80" s="4">
        <f>38+36</f>
        <v>74</v>
      </c>
      <c r="R80" s="2">
        <f>74+1</f>
        <v>75</v>
      </c>
      <c r="S80" s="3"/>
      <c r="T80" s="4">
        <f>74+14</f>
        <v>88</v>
      </c>
    </row>
    <row r="81" spans="2:36" x14ac:dyDescent="0.3">
      <c r="N81" s="5"/>
      <c r="O81" s="1" t="s">
        <v>22</v>
      </c>
      <c r="P81" s="6"/>
      <c r="R81" s="5"/>
      <c r="S81" s="1" t="s">
        <v>23</v>
      </c>
      <c r="T81" s="6"/>
      <c r="Z81" s="2">
        <f>168+1</f>
        <v>169</v>
      </c>
      <c r="AA81" s="3"/>
      <c r="AB81" s="4">
        <f>168+20</f>
        <v>188</v>
      </c>
      <c r="AD81" s="2">
        <f>188+1</f>
        <v>189</v>
      </c>
      <c r="AE81" s="3"/>
      <c r="AF81" s="4">
        <f>188+20</f>
        <v>208</v>
      </c>
    </row>
    <row r="82" spans="2:36" ht="15" thickBot="1" x14ac:dyDescent="0.35">
      <c r="N82" s="7">
        <f>38+1</f>
        <v>39</v>
      </c>
      <c r="O82" s="8"/>
      <c r="P82" s="9">
        <f>38+36</f>
        <v>74</v>
      </c>
      <c r="R82" s="7">
        <f>74+1</f>
        <v>75</v>
      </c>
      <c r="S82" s="8"/>
      <c r="T82" s="9">
        <f>74+14</f>
        <v>88</v>
      </c>
      <c r="Z82" s="5"/>
      <c r="AA82" s="1" t="s">
        <v>15</v>
      </c>
      <c r="AB82" s="6"/>
      <c r="AD82" s="5"/>
      <c r="AE82" s="1" t="s">
        <v>16</v>
      </c>
      <c r="AF82" s="6"/>
    </row>
    <row r="83" spans="2:36" ht="15" thickBot="1" x14ac:dyDescent="0.35">
      <c r="Z83" s="7">
        <f>158+1</f>
        <v>159</v>
      </c>
      <c r="AA83" s="8"/>
      <c r="AB83" s="9">
        <f>158+20</f>
        <v>178</v>
      </c>
      <c r="AD83" s="7">
        <f>178+1</f>
        <v>179</v>
      </c>
      <c r="AE83" s="8"/>
      <c r="AF83" s="9">
        <f>178+20</f>
        <v>198</v>
      </c>
    </row>
    <row r="84" spans="2:36" ht="15" thickBot="1" x14ac:dyDescent="0.35">
      <c r="F84" s="2">
        <f>14+1</f>
        <v>15</v>
      </c>
      <c r="G84" s="3"/>
      <c r="H84" s="4">
        <f>14+16</f>
        <v>30</v>
      </c>
      <c r="J84" s="2">
        <f>30+1</f>
        <v>31</v>
      </c>
      <c r="K84" s="3"/>
      <c r="L84" s="4">
        <f>30+8</f>
        <v>38</v>
      </c>
      <c r="AH84" s="2">
        <f>208+1</f>
        <v>209</v>
      </c>
      <c r="AI84" s="3"/>
      <c r="AJ84" s="4">
        <f>208+2</f>
        <v>210</v>
      </c>
    </row>
    <row r="85" spans="2:36" x14ac:dyDescent="0.3">
      <c r="F85" s="5"/>
      <c r="G85" s="1" t="s">
        <v>35</v>
      </c>
      <c r="H85" s="6"/>
      <c r="J85" s="5"/>
      <c r="K85" s="1" t="s">
        <v>28</v>
      </c>
      <c r="L85" s="6"/>
      <c r="V85" s="2">
        <f>88+1</f>
        <v>89</v>
      </c>
      <c r="W85" s="3"/>
      <c r="X85" s="4">
        <f>88+80</f>
        <v>168</v>
      </c>
      <c r="Z85" s="2">
        <f>168+1</f>
        <v>169</v>
      </c>
      <c r="AA85" s="3"/>
      <c r="AB85" s="4">
        <f>168+5</f>
        <v>173</v>
      </c>
      <c r="AH85" s="5"/>
      <c r="AI85" s="1" t="s">
        <v>5</v>
      </c>
      <c r="AJ85" s="6"/>
    </row>
    <row r="86" spans="2:36" ht="15" thickBot="1" x14ac:dyDescent="0.35">
      <c r="F86" s="7">
        <f>14+1</f>
        <v>15</v>
      </c>
      <c r="G86" s="8"/>
      <c r="H86" s="9">
        <f>14+16</f>
        <v>30</v>
      </c>
      <c r="J86" s="7">
        <v>31</v>
      </c>
      <c r="K86" s="8"/>
      <c r="L86" s="9">
        <f>30+8</f>
        <v>38</v>
      </c>
      <c r="V86" s="5"/>
      <c r="W86" s="19" t="s">
        <v>11</v>
      </c>
      <c r="X86" s="6"/>
      <c r="Z86" s="5"/>
      <c r="AA86" s="1" t="s">
        <v>13</v>
      </c>
      <c r="AB86" s="6"/>
      <c r="AH86" s="7">
        <v>199</v>
      </c>
      <c r="AI86" s="8"/>
      <c r="AJ86" s="9">
        <v>200</v>
      </c>
    </row>
    <row r="87" spans="2:36" ht="15" thickBot="1" x14ac:dyDescent="0.35">
      <c r="V87" s="7">
        <f>169-80</f>
        <v>89</v>
      </c>
      <c r="W87" s="8"/>
      <c r="X87" s="9">
        <f>88+70</f>
        <v>158</v>
      </c>
      <c r="Z87" s="7">
        <f>158+1</f>
        <v>159</v>
      </c>
      <c r="AA87" s="8"/>
      <c r="AB87" s="9">
        <f>158+5</f>
        <v>163</v>
      </c>
      <c r="AD87" s="2">
        <f>176+1</f>
        <v>177</v>
      </c>
      <c r="AE87" s="3"/>
      <c r="AF87" s="4">
        <f>176+16</f>
        <v>192</v>
      </c>
    </row>
    <row r="88" spans="2:36" ht="15" thickBot="1" x14ac:dyDescent="0.35">
      <c r="B88" s="2">
        <f>0+1</f>
        <v>1</v>
      </c>
      <c r="C88" s="3"/>
      <c r="D88" s="4">
        <f>0+14</f>
        <v>14</v>
      </c>
      <c r="N88" s="2">
        <f>38+1</f>
        <v>39</v>
      </c>
      <c r="O88" s="3"/>
      <c r="P88" s="4">
        <f>38+20</f>
        <v>58</v>
      </c>
      <c r="AD88" s="5"/>
      <c r="AE88" s="1" t="s">
        <v>45</v>
      </c>
      <c r="AF88" s="6"/>
    </row>
    <row r="89" spans="2:36" ht="15" thickBot="1" x14ac:dyDescent="0.35">
      <c r="B89" s="5"/>
      <c r="C89" s="1" t="s">
        <v>34</v>
      </c>
      <c r="D89" s="6"/>
      <c r="N89" s="5"/>
      <c r="O89" s="1" t="s">
        <v>29</v>
      </c>
      <c r="P89" s="6"/>
      <c r="Z89" s="2">
        <f>168+1</f>
        <v>169</v>
      </c>
      <c r="AA89" s="3"/>
      <c r="AB89" s="4">
        <f>168+8</f>
        <v>176</v>
      </c>
      <c r="AD89" s="7">
        <v>167</v>
      </c>
      <c r="AE89" s="8"/>
      <c r="AF89" s="9">
        <v>182</v>
      </c>
    </row>
    <row r="90" spans="2:36" ht="15" thickBot="1" x14ac:dyDescent="0.35">
      <c r="B90" s="7">
        <f>0+1</f>
        <v>1</v>
      </c>
      <c r="C90" s="8"/>
      <c r="D90" s="9">
        <f>0+14</f>
        <v>14</v>
      </c>
      <c r="N90" s="7">
        <v>39</v>
      </c>
      <c r="O90" s="8"/>
      <c r="P90" s="9">
        <v>58</v>
      </c>
      <c r="R90" s="2">
        <f>58+1</f>
        <v>59</v>
      </c>
      <c r="S90" s="3"/>
      <c r="T90" s="4">
        <f>58+20</f>
        <v>78</v>
      </c>
      <c r="Z90" s="5"/>
      <c r="AA90" s="1" t="s">
        <v>12</v>
      </c>
      <c r="AB90" s="6"/>
    </row>
    <row r="91" spans="2:36" ht="15" thickBot="1" x14ac:dyDescent="0.35">
      <c r="R91" s="5"/>
      <c r="S91" s="1" t="s">
        <v>20</v>
      </c>
      <c r="T91" s="6"/>
      <c r="Z91" s="7">
        <f>158+1</f>
        <v>159</v>
      </c>
      <c r="AA91" s="8"/>
      <c r="AB91" s="9">
        <f>158+8</f>
        <v>166</v>
      </c>
    </row>
    <row r="92" spans="2:36" ht="15" thickBot="1" x14ac:dyDescent="0.35">
      <c r="F92" s="2">
        <f>14+1</f>
        <v>15</v>
      </c>
      <c r="G92" s="3"/>
      <c r="H92" s="4">
        <f>14+4</f>
        <v>18</v>
      </c>
      <c r="J92" s="2">
        <f>18+1</f>
        <v>19</v>
      </c>
      <c r="K92" s="3"/>
      <c r="L92" s="4">
        <f>18+18</f>
        <v>36</v>
      </c>
      <c r="N92" s="2">
        <f>36+1</f>
        <v>37</v>
      </c>
      <c r="O92" s="3"/>
      <c r="P92" s="4">
        <f>36+14</f>
        <v>50</v>
      </c>
      <c r="R92" s="7">
        <v>59</v>
      </c>
      <c r="S92" s="8"/>
      <c r="T92" s="9">
        <v>78</v>
      </c>
    </row>
    <row r="93" spans="2:36" x14ac:dyDescent="0.3">
      <c r="F93" s="5"/>
      <c r="G93" s="1" t="s">
        <v>32</v>
      </c>
      <c r="H93" s="6"/>
      <c r="J93" s="5"/>
      <c r="K93" s="1" t="s">
        <v>25</v>
      </c>
      <c r="L93" s="6"/>
      <c r="N93" s="5"/>
      <c r="O93" s="1" t="s">
        <v>26</v>
      </c>
      <c r="P93" s="6"/>
    </row>
    <row r="94" spans="2:36" ht="15" thickBot="1" x14ac:dyDescent="0.35">
      <c r="F94" s="7">
        <f>37-4</f>
        <v>33</v>
      </c>
      <c r="G94" s="8"/>
      <c r="H94" s="9">
        <v>18</v>
      </c>
      <c r="J94" s="7">
        <v>19</v>
      </c>
      <c r="K94" s="8"/>
      <c r="L94" s="9">
        <v>36</v>
      </c>
      <c r="N94" s="7">
        <v>37</v>
      </c>
      <c r="O94" s="8"/>
      <c r="P94" s="9">
        <v>50</v>
      </c>
    </row>
    <row r="97" spans="1:36" ht="15" thickBot="1" x14ac:dyDescent="0.35">
      <c r="A97" s="1" t="s">
        <v>23</v>
      </c>
    </row>
    <row r="98" spans="1:36" ht="15" thickBot="1" x14ac:dyDescent="0.35">
      <c r="A98" s="1">
        <f>1400 *(14-6)</f>
        <v>11200</v>
      </c>
      <c r="N98" s="2">
        <f>38+1</f>
        <v>39</v>
      </c>
      <c r="O98" s="3"/>
      <c r="P98" s="4">
        <f>38+36</f>
        <v>74</v>
      </c>
      <c r="R98" s="2">
        <f>74+1</f>
        <v>75</v>
      </c>
      <c r="S98" s="3"/>
      <c r="T98" s="4">
        <f>74+14</f>
        <v>88</v>
      </c>
    </row>
    <row r="99" spans="1:36" x14ac:dyDescent="0.3">
      <c r="N99" s="5"/>
      <c r="O99" s="1" t="s">
        <v>22</v>
      </c>
      <c r="P99" s="6"/>
      <c r="R99" s="5"/>
      <c r="S99" s="1" t="s">
        <v>23</v>
      </c>
      <c r="T99" s="6"/>
      <c r="Z99" s="2">
        <f>168+1</f>
        <v>169</v>
      </c>
      <c r="AA99" s="3"/>
      <c r="AB99" s="4">
        <f>168+20</f>
        <v>188</v>
      </c>
      <c r="AD99" s="2">
        <f>188+1</f>
        <v>189</v>
      </c>
      <c r="AE99" s="3"/>
      <c r="AF99" s="4">
        <f>188+20</f>
        <v>208</v>
      </c>
    </row>
    <row r="100" spans="1:36" ht="15" thickBot="1" x14ac:dyDescent="0.35">
      <c r="N100" s="7">
        <f>38+1</f>
        <v>39</v>
      </c>
      <c r="O100" s="8"/>
      <c r="P100" s="9">
        <f>38+36</f>
        <v>74</v>
      </c>
      <c r="R100" s="7">
        <f>74+1</f>
        <v>75</v>
      </c>
      <c r="S100" s="8"/>
      <c r="T100" s="9">
        <f>74+6</f>
        <v>80</v>
      </c>
      <c r="Z100" s="5"/>
      <c r="AA100" s="1" t="s">
        <v>15</v>
      </c>
      <c r="AB100" s="6"/>
      <c r="AD100" s="5"/>
      <c r="AE100" s="1" t="s">
        <v>16</v>
      </c>
      <c r="AF100" s="6"/>
    </row>
    <row r="101" spans="1:36" ht="15" thickBot="1" x14ac:dyDescent="0.35">
      <c r="Z101" s="7">
        <f>150+1</f>
        <v>151</v>
      </c>
      <c r="AA101" s="8"/>
      <c r="AB101" s="9">
        <f>150+20</f>
        <v>170</v>
      </c>
      <c r="AD101" s="7">
        <f>170+1</f>
        <v>171</v>
      </c>
      <c r="AE101" s="8"/>
      <c r="AF101" s="9">
        <f>170+20</f>
        <v>190</v>
      </c>
    </row>
    <row r="102" spans="1:36" ht="15" thickBot="1" x14ac:dyDescent="0.35">
      <c r="F102" s="2">
        <f>14+1</f>
        <v>15</v>
      </c>
      <c r="G102" s="3"/>
      <c r="H102" s="4">
        <f>14+16</f>
        <v>30</v>
      </c>
      <c r="J102" s="2">
        <f>30+1</f>
        <v>31</v>
      </c>
      <c r="K102" s="3"/>
      <c r="L102" s="4">
        <f>30+8</f>
        <v>38</v>
      </c>
      <c r="AH102" s="2">
        <f>208+1</f>
        <v>209</v>
      </c>
      <c r="AI102" s="3"/>
      <c r="AJ102" s="4">
        <f>208+2</f>
        <v>210</v>
      </c>
    </row>
    <row r="103" spans="1:36" x14ac:dyDescent="0.3">
      <c r="F103" s="5"/>
      <c r="G103" s="1" t="s">
        <v>35</v>
      </c>
      <c r="H103" s="6"/>
      <c r="J103" s="5"/>
      <c r="K103" s="1" t="s">
        <v>28</v>
      </c>
      <c r="L103" s="6"/>
      <c r="V103" s="2">
        <f>88+1</f>
        <v>89</v>
      </c>
      <c r="W103" s="3"/>
      <c r="X103" s="4">
        <f>88+80</f>
        <v>168</v>
      </c>
      <c r="Z103" s="2">
        <f>168+1</f>
        <v>169</v>
      </c>
      <c r="AA103" s="3"/>
      <c r="AB103" s="4">
        <f>168+5</f>
        <v>173</v>
      </c>
      <c r="AH103" s="5"/>
      <c r="AI103" s="1" t="s">
        <v>5</v>
      </c>
      <c r="AJ103" s="6"/>
    </row>
    <row r="104" spans="1:36" ht="15" thickBot="1" x14ac:dyDescent="0.35">
      <c r="F104" s="7">
        <f>14+1</f>
        <v>15</v>
      </c>
      <c r="G104" s="8"/>
      <c r="H104" s="9">
        <f>14+16</f>
        <v>30</v>
      </c>
      <c r="J104" s="7">
        <v>31</v>
      </c>
      <c r="K104" s="8"/>
      <c r="L104" s="9">
        <f>30+8</f>
        <v>38</v>
      </c>
      <c r="V104" s="5"/>
      <c r="W104" s="19" t="s">
        <v>11</v>
      </c>
      <c r="X104" s="6"/>
      <c r="Z104" s="5"/>
      <c r="AA104" s="1" t="s">
        <v>13</v>
      </c>
      <c r="AB104" s="6"/>
      <c r="AH104" s="7">
        <f>190+1</f>
        <v>191</v>
      </c>
      <c r="AI104" s="8"/>
      <c r="AJ104" s="9">
        <f>190+2</f>
        <v>192</v>
      </c>
    </row>
    <row r="105" spans="1:36" ht="15" thickBot="1" x14ac:dyDescent="0.35">
      <c r="V105" s="7">
        <f>80+1</f>
        <v>81</v>
      </c>
      <c r="W105" s="8"/>
      <c r="X105" s="9">
        <f>80+70</f>
        <v>150</v>
      </c>
      <c r="Z105" s="7">
        <f>150+1</f>
        <v>151</v>
      </c>
      <c r="AA105" s="8"/>
      <c r="AB105" s="9">
        <f>150+5</f>
        <v>155</v>
      </c>
      <c r="AD105" s="2">
        <f>176+1</f>
        <v>177</v>
      </c>
      <c r="AE105" s="3"/>
      <c r="AF105" s="4">
        <f>176+16</f>
        <v>192</v>
      </c>
    </row>
    <row r="106" spans="1:36" ht="15" thickBot="1" x14ac:dyDescent="0.35">
      <c r="B106" s="2">
        <f>0+1</f>
        <v>1</v>
      </c>
      <c r="C106" s="3"/>
      <c r="D106" s="4">
        <f>0+14</f>
        <v>14</v>
      </c>
      <c r="N106" s="2">
        <f>38+1</f>
        <v>39</v>
      </c>
      <c r="O106" s="3"/>
      <c r="P106" s="4">
        <f>38+20</f>
        <v>58</v>
      </c>
      <c r="AD106" s="5"/>
      <c r="AE106" s="1" t="s">
        <v>45</v>
      </c>
      <c r="AF106" s="6"/>
    </row>
    <row r="107" spans="1:36" ht="15" thickBot="1" x14ac:dyDescent="0.35">
      <c r="B107" s="5"/>
      <c r="C107" s="1" t="s">
        <v>34</v>
      </c>
      <c r="D107" s="6"/>
      <c r="N107" s="5"/>
      <c r="O107" s="1" t="s">
        <v>29</v>
      </c>
      <c r="P107" s="6"/>
      <c r="Z107" s="2">
        <f>168+1</f>
        <v>169</v>
      </c>
      <c r="AA107" s="3"/>
      <c r="AB107" s="4">
        <f>168+8</f>
        <v>176</v>
      </c>
      <c r="AD107" s="7">
        <f>158+1</f>
        <v>159</v>
      </c>
      <c r="AE107" s="8"/>
      <c r="AF107" s="9">
        <f>158+16</f>
        <v>174</v>
      </c>
    </row>
    <row r="108" spans="1:36" ht="15" thickBot="1" x14ac:dyDescent="0.35">
      <c r="B108" s="7">
        <f>0+1</f>
        <v>1</v>
      </c>
      <c r="C108" s="8"/>
      <c r="D108" s="9">
        <f>0+14</f>
        <v>14</v>
      </c>
      <c r="N108" s="7">
        <v>39</v>
      </c>
      <c r="O108" s="8"/>
      <c r="P108" s="9">
        <v>58</v>
      </c>
      <c r="R108" s="2">
        <f>58+1</f>
        <v>59</v>
      </c>
      <c r="S108" s="3"/>
      <c r="T108" s="4">
        <f>58+20</f>
        <v>78</v>
      </c>
      <c r="Z108" s="5"/>
      <c r="AA108" s="1" t="s">
        <v>12</v>
      </c>
      <c r="AB108" s="6"/>
    </row>
    <row r="109" spans="1:36" ht="15" thickBot="1" x14ac:dyDescent="0.35">
      <c r="R109" s="5"/>
      <c r="S109" s="1" t="s">
        <v>20</v>
      </c>
      <c r="T109" s="6"/>
      <c r="Z109" s="7">
        <f>150+1</f>
        <v>151</v>
      </c>
      <c r="AA109" s="8"/>
      <c r="AB109" s="9">
        <f>150+8</f>
        <v>158</v>
      </c>
    </row>
    <row r="110" spans="1:36" ht="15" thickBot="1" x14ac:dyDescent="0.35">
      <c r="F110" s="2">
        <f>14+1</f>
        <v>15</v>
      </c>
      <c r="G110" s="3"/>
      <c r="H110" s="4">
        <f>14+4</f>
        <v>18</v>
      </c>
      <c r="J110" s="2">
        <f>18+1</f>
        <v>19</v>
      </c>
      <c r="K110" s="3"/>
      <c r="L110" s="4">
        <f>18+18</f>
        <v>36</v>
      </c>
      <c r="N110" s="2">
        <f>36+1</f>
        <v>37</v>
      </c>
      <c r="O110" s="3"/>
      <c r="P110" s="4">
        <f>36+14</f>
        <v>50</v>
      </c>
      <c r="R110" s="7">
        <v>59</v>
      </c>
      <c r="S110" s="8"/>
      <c r="T110" s="9">
        <v>78</v>
      </c>
    </row>
    <row r="111" spans="1:36" x14ac:dyDescent="0.3">
      <c r="F111" s="5"/>
      <c r="G111" s="1" t="s">
        <v>32</v>
      </c>
      <c r="H111" s="6"/>
      <c r="J111" s="5"/>
      <c r="K111" s="1" t="s">
        <v>25</v>
      </c>
      <c r="L111" s="6"/>
      <c r="N111" s="5"/>
      <c r="O111" s="1" t="s">
        <v>26</v>
      </c>
      <c r="P111" s="6"/>
    </row>
    <row r="112" spans="1:36" ht="15" thickBot="1" x14ac:dyDescent="0.35">
      <c r="F112" s="7">
        <f>37-4</f>
        <v>33</v>
      </c>
      <c r="G112" s="8"/>
      <c r="H112" s="9">
        <v>18</v>
      </c>
      <c r="J112" s="7">
        <v>19</v>
      </c>
      <c r="K112" s="8"/>
      <c r="L112" s="9">
        <v>36</v>
      </c>
      <c r="N112" s="7">
        <v>37</v>
      </c>
      <c r="O112" s="8"/>
      <c r="P112" s="9">
        <v>50</v>
      </c>
    </row>
    <row r="114" spans="1:36" x14ac:dyDescent="0.3">
      <c r="A114" s="1" t="s">
        <v>22</v>
      </c>
    </row>
    <row r="115" spans="1:36" ht="15" thickBot="1" x14ac:dyDescent="0.35">
      <c r="A115" s="1">
        <f>1200*3</f>
        <v>3600</v>
      </c>
    </row>
    <row r="116" spans="1:36" ht="15" thickBot="1" x14ac:dyDescent="0.35">
      <c r="N116" s="2">
        <f>38+1</f>
        <v>39</v>
      </c>
      <c r="O116" s="3"/>
      <c r="P116" s="4">
        <f>38+36</f>
        <v>74</v>
      </c>
      <c r="R116" s="2">
        <f>74+1</f>
        <v>75</v>
      </c>
      <c r="S116" s="3"/>
      <c r="T116" s="4">
        <f>74+14</f>
        <v>88</v>
      </c>
    </row>
    <row r="117" spans="1:36" x14ac:dyDescent="0.3">
      <c r="N117" s="5"/>
      <c r="O117" s="1" t="s">
        <v>22</v>
      </c>
      <c r="P117" s="6"/>
      <c r="R117" s="5"/>
      <c r="S117" s="1" t="s">
        <v>23</v>
      </c>
      <c r="T117" s="6"/>
      <c r="Z117" s="2">
        <f>168+1</f>
        <v>169</v>
      </c>
      <c r="AA117" s="3"/>
      <c r="AB117" s="4">
        <f>168+20</f>
        <v>188</v>
      </c>
      <c r="AD117" s="2">
        <f>188+1</f>
        <v>189</v>
      </c>
      <c r="AE117" s="3"/>
      <c r="AF117" s="4">
        <f>188+20</f>
        <v>208</v>
      </c>
    </row>
    <row r="118" spans="1:36" ht="15" thickBot="1" x14ac:dyDescent="0.35">
      <c r="N118" s="7">
        <f>38+1</f>
        <v>39</v>
      </c>
      <c r="O118" s="8"/>
      <c r="P118" s="9">
        <f>38+36-3</f>
        <v>71</v>
      </c>
      <c r="R118" s="7">
        <f>74+1-3</f>
        <v>72</v>
      </c>
      <c r="S118" s="8"/>
      <c r="T118" s="9">
        <f>74+6-3</f>
        <v>77</v>
      </c>
      <c r="Z118" s="5"/>
      <c r="AA118" s="1" t="s">
        <v>15</v>
      </c>
      <c r="AB118" s="6"/>
      <c r="AD118" s="5"/>
      <c r="AE118" s="1" t="s">
        <v>16</v>
      </c>
      <c r="AF118" s="6"/>
    </row>
    <row r="119" spans="1:36" ht="15" thickBot="1" x14ac:dyDescent="0.35">
      <c r="Z119" s="7">
        <f>147+1</f>
        <v>148</v>
      </c>
      <c r="AA119" s="8"/>
      <c r="AB119" s="9">
        <f>150+20-3</f>
        <v>167</v>
      </c>
      <c r="AD119" s="7">
        <f>170+1-3</f>
        <v>168</v>
      </c>
      <c r="AE119" s="8"/>
      <c r="AF119" s="9">
        <f>170+20-3</f>
        <v>187</v>
      </c>
    </row>
    <row r="120" spans="1:36" ht="15" thickBot="1" x14ac:dyDescent="0.35">
      <c r="F120" s="2">
        <f>14+1</f>
        <v>15</v>
      </c>
      <c r="G120" s="3"/>
      <c r="H120" s="4">
        <f>14+16</f>
        <v>30</v>
      </c>
      <c r="J120" s="2">
        <f>30+1</f>
        <v>31</v>
      </c>
      <c r="K120" s="3"/>
      <c r="L120" s="4">
        <f>30+8</f>
        <v>38</v>
      </c>
      <c r="AH120" s="2">
        <f>208+1</f>
        <v>209</v>
      </c>
      <c r="AI120" s="3"/>
      <c r="AJ120" s="4">
        <f>208+2</f>
        <v>210</v>
      </c>
    </row>
    <row r="121" spans="1:36" x14ac:dyDescent="0.3">
      <c r="F121" s="5"/>
      <c r="G121" s="1" t="s">
        <v>35</v>
      </c>
      <c r="H121" s="6"/>
      <c r="J121" s="5"/>
      <c r="K121" s="1" t="s">
        <v>28</v>
      </c>
      <c r="L121" s="6"/>
      <c r="V121" s="2">
        <f>88+1</f>
        <v>89</v>
      </c>
      <c r="W121" s="3"/>
      <c r="X121" s="4">
        <f>88+80</f>
        <v>168</v>
      </c>
      <c r="Z121" s="2">
        <f>168+1</f>
        <v>169</v>
      </c>
      <c r="AA121" s="3"/>
      <c r="AB121" s="4">
        <f>168+5</f>
        <v>173</v>
      </c>
      <c r="AH121" s="5"/>
      <c r="AI121" s="1" t="s">
        <v>5</v>
      </c>
      <c r="AJ121" s="6"/>
    </row>
    <row r="122" spans="1:36" ht="15" thickBot="1" x14ac:dyDescent="0.35">
      <c r="F122" s="7">
        <f>14+1</f>
        <v>15</v>
      </c>
      <c r="G122" s="8"/>
      <c r="H122" s="9">
        <f>14+16</f>
        <v>30</v>
      </c>
      <c r="J122" s="7">
        <v>31</v>
      </c>
      <c r="K122" s="8"/>
      <c r="L122" s="9">
        <f>30+8</f>
        <v>38</v>
      </c>
      <c r="V122" s="5"/>
      <c r="W122" s="19" t="s">
        <v>11</v>
      </c>
      <c r="X122" s="6"/>
      <c r="Z122" s="5"/>
      <c r="AA122" s="1" t="s">
        <v>13</v>
      </c>
      <c r="AB122" s="6"/>
      <c r="AH122" s="7">
        <f>190+1-3</f>
        <v>188</v>
      </c>
      <c r="AI122" s="8"/>
      <c r="AJ122" s="9">
        <f>190+2-3</f>
        <v>189</v>
      </c>
    </row>
    <row r="123" spans="1:36" ht="15" thickBot="1" x14ac:dyDescent="0.35">
      <c r="V123" s="7">
        <f>77+1</f>
        <v>78</v>
      </c>
      <c r="W123" s="8"/>
      <c r="X123" s="9">
        <f>77+70</f>
        <v>147</v>
      </c>
      <c r="Z123" s="7">
        <f>147+1</f>
        <v>148</v>
      </c>
      <c r="AA123" s="8"/>
      <c r="AB123" s="9">
        <f>150+5-3</f>
        <v>152</v>
      </c>
      <c r="AD123" s="2">
        <f>176+1</f>
        <v>177</v>
      </c>
      <c r="AE123" s="3"/>
      <c r="AF123" s="4">
        <f>176+16</f>
        <v>192</v>
      </c>
    </row>
    <row r="124" spans="1:36" ht="15" thickBot="1" x14ac:dyDescent="0.35">
      <c r="B124" s="2">
        <f>0+1</f>
        <v>1</v>
      </c>
      <c r="C124" s="3"/>
      <c r="D124" s="4">
        <f>0+14</f>
        <v>14</v>
      </c>
      <c r="N124" s="2">
        <f>38+1</f>
        <v>39</v>
      </c>
      <c r="O124" s="3"/>
      <c r="P124" s="4">
        <f>38+20</f>
        <v>58</v>
      </c>
      <c r="AD124" s="5"/>
      <c r="AE124" s="1" t="s">
        <v>45</v>
      </c>
      <c r="AF124" s="6"/>
    </row>
    <row r="125" spans="1:36" ht="15" thickBot="1" x14ac:dyDescent="0.35">
      <c r="B125" s="5"/>
      <c r="C125" s="1" t="s">
        <v>34</v>
      </c>
      <c r="D125" s="6"/>
      <c r="N125" s="5"/>
      <c r="O125" s="1" t="s">
        <v>29</v>
      </c>
      <c r="P125" s="6"/>
      <c r="Z125" s="2">
        <f>168+1</f>
        <v>169</v>
      </c>
      <c r="AA125" s="3"/>
      <c r="AB125" s="4">
        <f>168+8</f>
        <v>176</v>
      </c>
      <c r="AD125" s="7">
        <f>158+1-3</f>
        <v>156</v>
      </c>
      <c r="AE125" s="8"/>
      <c r="AF125" s="9">
        <f>158+16-3</f>
        <v>171</v>
      </c>
    </row>
    <row r="126" spans="1:36" ht="15" thickBot="1" x14ac:dyDescent="0.35">
      <c r="B126" s="7">
        <f>0+1</f>
        <v>1</v>
      </c>
      <c r="C126" s="8"/>
      <c r="D126" s="9">
        <f>0+14</f>
        <v>14</v>
      </c>
      <c r="N126" s="7">
        <v>39</v>
      </c>
      <c r="O126" s="8"/>
      <c r="P126" s="9">
        <v>58</v>
      </c>
      <c r="R126" s="2">
        <f>58+1</f>
        <v>59</v>
      </c>
      <c r="S126" s="3"/>
      <c r="T126" s="4">
        <f>58+20</f>
        <v>78</v>
      </c>
      <c r="Z126" s="5"/>
      <c r="AA126" s="1" t="s">
        <v>12</v>
      </c>
      <c r="AB126" s="6"/>
    </row>
    <row r="127" spans="1:36" ht="15" thickBot="1" x14ac:dyDescent="0.35">
      <c r="R127" s="5"/>
      <c r="S127" s="1" t="s">
        <v>20</v>
      </c>
      <c r="T127" s="6"/>
      <c r="Z127" s="7">
        <f>150+1-3</f>
        <v>148</v>
      </c>
      <c r="AA127" s="8"/>
      <c r="AB127" s="9">
        <f>150+8-3</f>
        <v>155</v>
      </c>
    </row>
    <row r="128" spans="1:36" ht="15" thickBot="1" x14ac:dyDescent="0.35">
      <c r="F128" s="2">
        <f>14+1</f>
        <v>15</v>
      </c>
      <c r="G128" s="3"/>
      <c r="H128" s="4">
        <f>14+4</f>
        <v>18</v>
      </c>
      <c r="J128" s="2">
        <f>18+1</f>
        <v>19</v>
      </c>
      <c r="K128" s="3"/>
      <c r="L128" s="4">
        <f>18+18</f>
        <v>36</v>
      </c>
      <c r="N128" s="2">
        <f>36+1</f>
        <v>37</v>
      </c>
      <c r="O128" s="3"/>
      <c r="P128" s="4">
        <f>36+14</f>
        <v>50</v>
      </c>
      <c r="R128" s="7">
        <v>59</v>
      </c>
      <c r="S128" s="8"/>
      <c r="T128" s="9">
        <v>78</v>
      </c>
    </row>
    <row r="129" spans="1:36" x14ac:dyDescent="0.3">
      <c r="F129" s="5"/>
      <c r="G129" s="1" t="s">
        <v>32</v>
      </c>
      <c r="H129" s="6"/>
      <c r="J129" s="5"/>
      <c r="K129" s="1" t="s">
        <v>25</v>
      </c>
      <c r="L129" s="6"/>
      <c r="N129" s="5"/>
      <c r="O129" s="1" t="s">
        <v>26</v>
      </c>
      <c r="P129" s="6"/>
    </row>
    <row r="130" spans="1:36" ht="15" thickBot="1" x14ac:dyDescent="0.35">
      <c r="F130" s="7">
        <f>37-4</f>
        <v>33</v>
      </c>
      <c r="G130" s="8"/>
      <c r="H130" s="9">
        <v>18</v>
      </c>
      <c r="J130" s="7">
        <v>19</v>
      </c>
      <c r="K130" s="8"/>
      <c r="L130" s="9">
        <v>36</v>
      </c>
      <c r="N130" s="7">
        <v>37</v>
      </c>
      <c r="O130" s="8"/>
      <c r="P130" s="9">
        <v>50</v>
      </c>
    </row>
    <row r="133" spans="1:36" ht="15" thickBot="1" x14ac:dyDescent="0.35">
      <c r="A133" s="1" t="s">
        <v>11</v>
      </c>
    </row>
    <row r="134" spans="1:36" ht="15" thickBot="1" x14ac:dyDescent="0.35">
      <c r="A134" s="1">
        <f>1200*10</f>
        <v>12000</v>
      </c>
      <c r="N134" s="2">
        <f>38+1</f>
        <v>39</v>
      </c>
      <c r="O134" s="3"/>
      <c r="P134" s="4">
        <f>38+36</f>
        <v>74</v>
      </c>
      <c r="R134" s="2">
        <f>74+1</f>
        <v>75</v>
      </c>
      <c r="S134" s="3"/>
      <c r="T134" s="4">
        <f>74+14</f>
        <v>88</v>
      </c>
    </row>
    <row r="135" spans="1:36" x14ac:dyDescent="0.3">
      <c r="A135" s="1" t="s">
        <v>23</v>
      </c>
      <c r="N135" s="5"/>
      <c r="O135" s="1" t="s">
        <v>22</v>
      </c>
      <c r="P135" s="6"/>
      <c r="R135" s="5"/>
      <c r="S135" s="1" t="s">
        <v>23</v>
      </c>
      <c r="T135" s="6"/>
      <c r="Z135" s="2">
        <f>168+1</f>
        <v>169</v>
      </c>
      <c r="AA135" s="3"/>
      <c r="AB135" s="4">
        <f>168+20</f>
        <v>188</v>
      </c>
      <c r="AD135" s="2">
        <f>188+1</f>
        <v>189</v>
      </c>
      <c r="AE135" s="3"/>
      <c r="AF135" s="4">
        <f>188+20</f>
        <v>208</v>
      </c>
    </row>
    <row r="136" spans="1:36" ht="15" thickBot="1" x14ac:dyDescent="0.35">
      <c r="A136" s="1">
        <f>1400*8</f>
        <v>11200</v>
      </c>
      <c r="N136" s="7">
        <f>38+1</f>
        <v>39</v>
      </c>
      <c r="O136" s="8"/>
      <c r="P136" s="9">
        <f>38+36-2-10</f>
        <v>62</v>
      </c>
      <c r="R136" s="7">
        <f>74+1-2-10</f>
        <v>63</v>
      </c>
      <c r="S136" s="8"/>
      <c r="T136" s="9">
        <f>74+14-8-2-10</f>
        <v>68</v>
      </c>
      <c r="Z136" s="5"/>
      <c r="AA136" s="1" t="s">
        <v>15</v>
      </c>
      <c r="AB136" s="6"/>
      <c r="AD136" s="5"/>
      <c r="AE136" s="1" t="s">
        <v>16</v>
      </c>
      <c r="AF136" s="6"/>
    </row>
    <row r="137" spans="1:36" ht="15" thickBot="1" x14ac:dyDescent="0.35">
      <c r="A137" s="1" t="s">
        <v>22</v>
      </c>
      <c r="Z137" s="7">
        <f>168+1-10-8-2-10</f>
        <v>139</v>
      </c>
      <c r="AA137" s="8"/>
      <c r="AB137" s="9">
        <f>168+20-10-8-2-10</f>
        <v>158</v>
      </c>
      <c r="AD137" s="7">
        <f>188+1-10-8-2-10</f>
        <v>159</v>
      </c>
      <c r="AE137" s="8"/>
      <c r="AF137" s="9">
        <f>188+20-10-8-2-10</f>
        <v>178</v>
      </c>
    </row>
    <row r="138" spans="1:36" ht="15" thickBot="1" x14ac:dyDescent="0.35">
      <c r="A138" s="1">
        <f>1200*2</f>
        <v>2400</v>
      </c>
      <c r="F138" s="2">
        <f>14+1</f>
        <v>15</v>
      </c>
      <c r="G138" s="3"/>
      <c r="H138" s="4">
        <f>14+16</f>
        <v>30</v>
      </c>
      <c r="J138" s="2">
        <f>30+1</f>
        <v>31</v>
      </c>
      <c r="K138" s="3"/>
      <c r="L138" s="4">
        <f>30+8</f>
        <v>38</v>
      </c>
      <c r="AH138" s="2">
        <f>208+1</f>
        <v>209</v>
      </c>
      <c r="AI138" s="3"/>
      <c r="AJ138" s="4">
        <f>208+2</f>
        <v>210</v>
      </c>
    </row>
    <row r="139" spans="1:36" x14ac:dyDescent="0.3">
      <c r="A139" s="1" t="s">
        <v>20</v>
      </c>
      <c r="F139" s="5"/>
      <c r="G139" s="1" t="s">
        <v>35</v>
      </c>
      <c r="H139" s="6"/>
      <c r="J139" s="5"/>
      <c r="K139" s="1" t="s">
        <v>28</v>
      </c>
      <c r="L139" s="6"/>
      <c r="V139" s="2">
        <f>88+1</f>
        <v>89</v>
      </c>
      <c r="W139" s="3"/>
      <c r="X139" s="4">
        <f>88+80</f>
        <v>168</v>
      </c>
      <c r="Z139" s="2">
        <f>168+1</f>
        <v>169</v>
      </c>
      <c r="AA139" s="3"/>
      <c r="AB139" s="4">
        <f>168+5</f>
        <v>173</v>
      </c>
      <c r="AH139" s="5"/>
      <c r="AI139" s="1" t="s">
        <v>5</v>
      </c>
      <c r="AJ139" s="6"/>
    </row>
    <row r="140" spans="1:36" ht="15" thickBot="1" x14ac:dyDescent="0.35">
      <c r="A140" s="1">
        <f>1200*8</f>
        <v>9600</v>
      </c>
      <c r="F140" s="7">
        <f>14+1</f>
        <v>15</v>
      </c>
      <c r="G140" s="8"/>
      <c r="H140" s="9">
        <f>14+16</f>
        <v>30</v>
      </c>
      <c r="J140" s="7">
        <f>30+1</f>
        <v>31</v>
      </c>
      <c r="K140" s="8"/>
      <c r="L140" s="9">
        <f>30+8</f>
        <v>38</v>
      </c>
      <c r="V140" s="5"/>
      <c r="W140" s="19" t="s">
        <v>11</v>
      </c>
      <c r="X140" s="6"/>
      <c r="Z140" s="5"/>
      <c r="AA140" s="1" t="s">
        <v>13</v>
      </c>
      <c r="AB140" s="6"/>
      <c r="AH140" s="7">
        <f>208+1-10-8-2-10</f>
        <v>179</v>
      </c>
      <c r="AI140" s="8"/>
      <c r="AJ140" s="9">
        <f>208+2-10-8-2-10</f>
        <v>180</v>
      </c>
    </row>
    <row r="141" spans="1:36" ht="15" thickBot="1" x14ac:dyDescent="0.35">
      <c r="A141" s="1" t="s">
        <v>29</v>
      </c>
      <c r="V141" s="7">
        <f>88+1-8-2-10</f>
        <v>69</v>
      </c>
      <c r="W141" s="8"/>
      <c r="X141" s="9">
        <f>88+80-10-8-2-10</f>
        <v>138</v>
      </c>
      <c r="Z141" s="7">
        <f>168+1-10-8-2-10</f>
        <v>139</v>
      </c>
      <c r="AA141" s="8"/>
      <c r="AB141" s="9">
        <f>168+5-10-8-2-10</f>
        <v>143</v>
      </c>
      <c r="AD141" s="2">
        <f>176+1</f>
        <v>177</v>
      </c>
      <c r="AE141" s="3"/>
      <c r="AF141" s="4">
        <f>176+16</f>
        <v>192</v>
      </c>
    </row>
    <row r="142" spans="1:36" ht="15" thickBot="1" x14ac:dyDescent="0.35">
      <c r="A142" s="1">
        <f>1400*2</f>
        <v>2800</v>
      </c>
      <c r="B142" s="2">
        <f>0+1</f>
        <v>1</v>
      </c>
      <c r="C142" s="3"/>
      <c r="D142" s="4">
        <f>0+14</f>
        <v>14</v>
      </c>
      <c r="N142" s="2">
        <f>38+1</f>
        <v>39</v>
      </c>
      <c r="O142" s="3"/>
      <c r="P142" s="4">
        <f>38+20</f>
        <v>58</v>
      </c>
      <c r="AD142" s="5"/>
      <c r="AE142" s="1" t="s">
        <v>45</v>
      </c>
      <c r="AF142" s="6"/>
    </row>
    <row r="143" spans="1:36" ht="15" thickBot="1" x14ac:dyDescent="0.35">
      <c r="A143" s="1" t="s">
        <v>22</v>
      </c>
      <c r="B143" s="5"/>
      <c r="C143" s="1" t="s">
        <v>34</v>
      </c>
      <c r="D143" s="6"/>
      <c r="N143" s="5"/>
      <c r="O143" s="1" t="s">
        <v>29</v>
      </c>
      <c r="P143" s="6"/>
      <c r="Z143" s="2">
        <f>168+1</f>
        <v>169</v>
      </c>
      <c r="AA143" s="3"/>
      <c r="AB143" s="4">
        <f>168+8</f>
        <v>176</v>
      </c>
      <c r="AD143" s="7">
        <f>176+1-10-8-2-10</f>
        <v>147</v>
      </c>
      <c r="AE143" s="8"/>
      <c r="AF143" s="9">
        <f>176+16-10-8-2-10</f>
        <v>162</v>
      </c>
    </row>
    <row r="144" spans="1:36" ht="15" thickBot="1" x14ac:dyDescent="0.35">
      <c r="A144" s="1">
        <f>1200*10</f>
        <v>12000</v>
      </c>
      <c r="B144" s="7">
        <f>0+1</f>
        <v>1</v>
      </c>
      <c r="C144" s="8"/>
      <c r="D144" s="9">
        <f>0+14</f>
        <v>14</v>
      </c>
      <c r="N144" s="7">
        <f>38+1</f>
        <v>39</v>
      </c>
      <c r="O144" s="8"/>
      <c r="P144" s="9">
        <f>38+20-2</f>
        <v>56</v>
      </c>
      <c r="R144" s="2">
        <f>58+1</f>
        <v>59</v>
      </c>
      <c r="S144" s="3"/>
      <c r="T144" s="4">
        <f>58+20</f>
        <v>78</v>
      </c>
      <c r="Z144" s="5"/>
      <c r="AA144" s="1" t="s">
        <v>12</v>
      </c>
      <c r="AB144" s="6"/>
    </row>
    <row r="145" spans="1:28" ht="15" thickBot="1" x14ac:dyDescent="0.35">
      <c r="R145" s="5"/>
      <c r="S145" s="1" t="s">
        <v>20</v>
      </c>
      <c r="T145" s="6"/>
      <c r="Z145" s="7">
        <f>168+1-10-8-2-10</f>
        <v>139</v>
      </c>
      <c r="AA145" s="8"/>
      <c r="AB145" s="9">
        <f>168+8-10-8-2-10</f>
        <v>146</v>
      </c>
    </row>
    <row r="146" spans="1:28" ht="15" thickBot="1" x14ac:dyDescent="0.35">
      <c r="F146" s="2">
        <f>14+1</f>
        <v>15</v>
      </c>
      <c r="G146" s="3"/>
      <c r="H146" s="4">
        <f>14+4</f>
        <v>18</v>
      </c>
      <c r="J146" s="2">
        <f>18+1</f>
        <v>19</v>
      </c>
      <c r="K146" s="3"/>
      <c r="L146" s="4">
        <f>18+18</f>
        <v>36</v>
      </c>
      <c r="N146" s="2">
        <f>36+1</f>
        <v>37</v>
      </c>
      <c r="O146" s="3"/>
      <c r="P146" s="4">
        <f>36+14</f>
        <v>50</v>
      </c>
      <c r="R146" s="7">
        <f>58+1-2</f>
        <v>57</v>
      </c>
      <c r="S146" s="8"/>
      <c r="T146" s="9">
        <f>58+20-8-2</f>
        <v>68</v>
      </c>
    </row>
    <row r="147" spans="1:28" x14ac:dyDescent="0.3">
      <c r="F147" s="5"/>
      <c r="G147" s="1" t="s">
        <v>32</v>
      </c>
      <c r="H147" s="6"/>
      <c r="J147" s="5"/>
      <c r="K147" s="1" t="s">
        <v>25</v>
      </c>
      <c r="L147" s="6"/>
      <c r="N147" s="5"/>
      <c r="O147" s="1" t="s">
        <v>26</v>
      </c>
      <c r="P147" s="6"/>
    </row>
    <row r="148" spans="1:28" ht="15" thickBot="1" x14ac:dyDescent="0.35">
      <c r="F148" s="7">
        <f>14 +1</f>
        <v>15</v>
      </c>
      <c r="G148" s="8"/>
      <c r="H148" s="9">
        <f>14+4</f>
        <v>18</v>
      </c>
      <c r="J148" s="7">
        <f>18+1</f>
        <v>19</v>
      </c>
      <c r="K148" s="8"/>
      <c r="L148" s="9">
        <f>18+18</f>
        <v>36</v>
      </c>
      <c r="N148" s="7">
        <f>36+1</f>
        <v>37</v>
      </c>
      <c r="O148" s="8"/>
      <c r="P148" s="9">
        <f>36+14</f>
        <v>50</v>
      </c>
    </row>
    <row r="150" spans="1:28" x14ac:dyDescent="0.3">
      <c r="A150" s="1">
        <f>A134+A136+A138+A140+A142+A144</f>
        <v>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Xingrong Zong</dc:creator>
  <cp:lastModifiedBy>Xingrong Zong</cp:lastModifiedBy>
  <cp:lastPrinted>2023-11-01T15:17:33Z</cp:lastPrinted>
  <dcterms:created xsi:type="dcterms:W3CDTF">2015-06-05T18:17:20Z</dcterms:created>
  <dcterms:modified xsi:type="dcterms:W3CDTF">2023-11-02T16:36:01Z</dcterms:modified>
</cp:coreProperties>
</file>